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y tac" sheetId="1" state="visible" r:id="rId3"/>
    <sheet name="Nhat ky" sheetId="2" state="visible" r:id="rId4"/>
    <sheet name="Tong quan phien" sheetId="3" state="visible" r:id="rId5"/>
    <sheet name="Trang thai ngay 17" sheetId="4" state="visible" r:id="rId6"/>
    <sheet name="So sanh 3 phi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Đ = đúng, S = sai. Chuỗi do mô phỏng ghi lại trước khi làm.</t>
        </r>
      </text>
    </comment>
    <comment ref="L1" authorId="0">
      <text>
        <r>
          <rPr>
            <sz val="10"/>
            <rFont val="Arial"/>
            <family val="2"/>
          </rPr>
          <t xml:space="preserve">Kết quả do học viên giả lập sinh ra (đầu vào).</t>
        </r>
      </text>
    </comment>
  </commentList>
</comments>
</file>

<file path=xl/sharedStrings.xml><?xml version="1.0" encoding="utf-8"?>
<sst xmlns="http://schemas.openxmlformats.org/spreadsheetml/2006/main" count="816" uniqueCount="167">
  <si>
    <t xml:space="preserve">Quy tắc và tham số của mô hình</t>
  </si>
  <si>
    <t xml:space="preserve">Ô chữ xanh dương là tham số đầu vào: đổi số ở đây thì các cột tính toán trong sheet 'Nhat ky' tự tính lại.</t>
  </si>
  <si>
    <t xml:space="preserve">Tham số</t>
  </si>
  <si>
    <t xml:space="preserve">Giá trị</t>
  </si>
  <si>
    <t xml:space="preserve">Ý nghĩa</t>
  </si>
  <si>
    <t xml:space="preserve">Cơ số khả năng ghi nhớ</t>
  </si>
  <si>
    <t xml:space="preserve">R = cơ số ^ (t / S): tại t = S, học viên còn nhớ 90%</t>
  </si>
  <si>
    <t xml:space="preserve">Ngưỡng độ yếu vào nhóm Yếu</t>
  </si>
  <si>
    <t xml:space="preserve">Độ yếu ≥ 50%</t>
  </si>
  <si>
    <t xml:space="preserve">Số lần làm gần nhất dùng tính độ yếu</t>
  </si>
  <si>
    <t xml:space="preserve">Độ yếu = (số sai + 1) / (số lần + 2) trên 5 lần gần nhất</t>
  </si>
  <si>
    <t xml:space="preserve">Thời gian nghỉ tối thiểu (giờ)</t>
  </si>
  <si>
    <t xml:space="preserve">Câu làm chưa đủ 20 giờ thì không được chọn</t>
  </si>
  <si>
    <t xml:space="preserve">Số câu mỗi phiên</t>
  </si>
  <si>
    <t xml:space="preserve">Số câu mới tối thiểu mỗi phiên</t>
  </si>
  <si>
    <t xml:space="preserve">Khi bể còn câu chưa làm</t>
  </si>
  <si>
    <t xml:space="preserve">Suất nhóm Yếu (phiên Cân bằng)</t>
  </si>
  <si>
    <t xml:space="preserve">Trên 7 suất ôn tập</t>
  </si>
  <si>
    <t xml:space="preserve">Suất nhóm Sắp quên (phiên Cân bằng)</t>
  </si>
  <si>
    <t xml:space="preserve">Thang độ bền S (ngày)</t>
  </si>
  <si>
    <t xml:space="preserve">Bậc</t>
  </si>
  <si>
    <t xml:space="preserve">S (ngày)</t>
  </si>
  <si>
    <t xml:space="preserve">Diễn giải</t>
  </si>
  <si>
    <t xml:space="preserve">Lần đầu sai, hoặc vừa làm sai</t>
  </si>
  <si>
    <t xml:space="preserve">Lần đầu đúng</t>
  </si>
  <si>
    <t xml:space="preserve">Bậc cao nhất</t>
  </si>
  <si>
    <t xml:space="preserve">Quy tắc đổi bậc</t>
  </si>
  <si>
    <t xml:space="preserve">• Lần làm đầu tiên: đúng → bậc 2 (3 ngày); sai → bậc 1 (1 ngày).</t>
  </si>
  <si>
    <t xml:space="preserve">• Làm sai: về bậc 1 (1 ngày), bất kể đang ở bậc nào.</t>
  </si>
  <si>
    <t xml:space="preserve">• Làm đúng khi đã đến hạn (t ≥ S): lên 1 bậc.</t>
  </si>
  <si>
    <t xml:space="preserve">• Làm đúng khi chưa đến hạn (t &lt; S): giữ nguyên bậc. Nhớ lại khi chưa quên không làm trí nhớ bền thêm.</t>
  </si>
  <si>
    <t xml:space="preserve">• Nhóm Sắp quên: câu đã đến hạn (t ≥ S, tức R ≤ 90%), xếp R thấp lên trước.</t>
  </si>
  <si>
    <t xml:space="preserve">• Nhóm Yếu: độ yếu ≥ 50%, xếp độ yếu cao lên trước.</t>
  </si>
  <si>
    <t xml:space="preserve">• Một câu có thể thuộc cả hai nhóm; được chọn ở nhóm nào thì chỉ tính một lần.</t>
  </si>
  <si>
    <t xml:space="preserve">• Kết quả Đúng/Sai trong sheet 'Nhat ky' do một học viên giả lập sinh ra; mọi cột còn lại tính bằng công thức.</t>
  </si>
  <si>
    <t xml:space="preserve">Phiên</t>
  </si>
  <si>
    <t xml:space="preserve">Ngày</t>
  </si>
  <si>
    <t xml:space="preserve">STT</t>
  </si>
  <si>
    <t xml:space="preserve">Mã câu</t>
  </si>
  <si>
    <t xml:space="preserve">Nhóm chọn</t>
  </si>
  <si>
    <t xml:space="preserve">Lịch sử 5 lần trước (cũ→mới)</t>
  </si>
  <si>
    <t xml:space="preserve">Độ yếu trước</t>
  </si>
  <si>
    <t xml:space="preserve">S trước (ngày)</t>
  </si>
  <si>
    <t xml:space="preserve">t: ngày từ lần làm cuối</t>
  </si>
  <si>
    <t xml:space="preserve">R trước</t>
  </si>
  <si>
    <t xml:space="preserve">Đã đến hạn?</t>
  </si>
  <si>
    <t xml:space="preserve">Kết quả</t>
  </si>
  <si>
    <t xml:space="preserve">Lịch sử sau</t>
  </si>
  <si>
    <t xml:space="preserve">Độ yếu sau</t>
  </si>
  <si>
    <t xml:space="preserve">S sau (ngày)</t>
  </si>
  <si>
    <t xml:space="preserve">Hạn ôn kế tiếp (ngày)</t>
  </si>
  <si>
    <t xml:space="preserve">Quy tắc áp dụng</t>
  </si>
  <si>
    <t xml:space="preserve">Q01</t>
  </si>
  <si>
    <t xml:space="preserve">Mới</t>
  </si>
  <si>
    <t xml:space="preserve">—</t>
  </si>
  <si>
    <t xml:space="preserve">Đúng</t>
  </si>
  <si>
    <t xml:space="preserve">Q02</t>
  </si>
  <si>
    <t xml:space="preserve">Q03</t>
  </si>
  <si>
    <t xml:space="preserve">Sai</t>
  </si>
  <si>
    <t xml:space="preserve">Q04</t>
  </si>
  <si>
    <t xml:space="preserve">Q05</t>
  </si>
  <si>
    <t xml:space="preserve">Q06</t>
  </si>
  <si>
    <t xml:space="preserve">Q07</t>
  </si>
  <si>
    <t xml:space="preserve">Q08</t>
  </si>
  <si>
    <t xml:space="preserve">Q09</t>
  </si>
  <si>
    <t xml:space="preserve">Q10</t>
  </si>
  <si>
    <t xml:space="preserve">Yếu</t>
  </si>
  <si>
    <t xml:space="preserve">S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</si>
  <si>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</si>
  <si>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</si>
  <si>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</si>
  <si>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</si>
  <si>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</si>
  <si>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</si>
  <si>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</si>
  <si>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SS</t>
  </si>
  <si>
    <t xml:space="preserve">SĐ</t>
  </si>
  <si>
    <t xml:space="preserve">Q18</t>
  </si>
  <si>
    <t xml:space="preserve">Q19</t>
  </si>
  <si>
    <t xml:space="preserve">Q20</t>
  </si>
  <si>
    <t xml:space="preserve">Q21</t>
  </si>
  <si>
    <t xml:space="preserve">SSS</t>
  </si>
  <si>
    <t xml:space="preserve">Sắp quên</t>
  </si>
  <si>
    <t xml:space="preserve">SĐS</t>
  </si>
  <si>
    <t xml:space="preserve">Đ</t>
  </si>
  <si>
    <t xml:space="preserve">Q22</t>
  </si>
  <si>
    <t xml:space="preserve">Q23</t>
  </si>
  <si>
    <t xml:space="preserve">Q24</t>
  </si>
  <si>
    <t xml:space="preserve">SSSĐ</t>
  </si>
  <si>
    <t xml:space="preserve">SSĐ</t>
  </si>
  <si>
    <t xml:space="preserve">Q25</t>
  </si>
  <si>
    <t xml:space="preserve">Q26</t>
  </si>
  <si>
    <t xml:space="preserve">Q27</t>
  </si>
  <si>
    <t xml:space="preserve">ĐS</t>
  </si>
  <si>
    <t xml:space="preserve">SĐSĐ</t>
  </si>
  <si>
    <t xml:space="preserve">Q28</t>
  </si>
  <si>
    <t xml:space="preserve">Q29</t>
  </si>
  <si>
    <t xml:space="preserve">Q30</t>
  </si>
  <si>
    <t xml:space="preserve">ĐSS</t>
  </si>
  <si>
    <t xml:space="preserve">SSSĐĐ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</si>
  <si>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</si>
  <si>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</si>
  <si>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</si>
  <si>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</si>
  <si>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</si>
  <si>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</si>
  <si>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SĐĐ</t>
  </si>
  <si>
    <t xml:space="preserve">Q37</t>
  </si>
  <si>
    <t xml:space="preserve">Q38</t>
  </si>
  <si>
    <t xml:space="preserve">Q39</t>
  </si>
  <si>
    <t xml:space="preserve">ĐSSS</t>
  </si>
  <si>
    <t xml:space="preserve">Q40</t>
  </si>
  <si>
    <t xml:space="preserve">Q41</t>
  </si>
  <si>
    <t xml:space="preserve">Q42</t>
  </si>
  <si>
    <t xml:space="preserve">Câu đã làm trước phiên</t>
  </si>
  <si>
    <t xml:space="preserve">Câu chưa làm</t>
  </si>
  <si>
    <t xml:space="preserve">Đang nghỉ (bị loại)</t>
  </si>
  <si>
    <t xml:space="preserve">Cỡ nhóm Yếu</t>
  </si>
  <si>
    <t xml:space="preserve">Cỡ nhóm Sắp quên</t>
  </si>
  <si>
    <t xml:space="preserve">Chọn: Yếu</t>
  </si>
  <si>
    <t xml:space="preserve">Chọn: Sắp quên</t>
  </si>
  <si>
    <t xml:space="preserve">Chọn: Mới</t>
  </si>
  <si>
    <t xml:space="preserve">Đúng / 10</t>
  </si>
  <si>
    <t xml:space="preserve">Đúng ở câu mới</t>
  </si>
  <si>
    <t xml:space="preserve">Đúng ở câu ôn</t>
  </si>
  <si>
    <t xml:space="preserve">Cột C–G (xanh dương) lấy từ mô phỏng tại thời điểm dựng phiên; cột H–M tính từ sheet 'Nhat ky'.</t>
  </si>
  <si>
    <t xml:space="preserve">Phiên 6 diễn ra tối cùng ngày 5 (ngày 5,5): 10 câu của phiên 5 mới làm 12 giờ trước nên bị loại vì chưa đủ 20 giờ nghỉ.</t>
  </si>
  <si>
    <t xml:space="preserve">Trạng thái 50 câu tại ngày 17 (ngay sau phiên 10)</t>
  </si>
  <si>
    <t xml:space="preserve">Ngày xét</t>
  </si>
  <si>
    <t xml:space="preserve">Số lần đã làm</t>
  </si>
  <si>
    <t xml:space="preserve">Lịch sử 5 lần (cũ→mới)</t>
  </si>
  <si>
    <t xml:space="preserve">Độ yếu</t>
  </si>
  <si>
    <t xml:space="preserve">Lần làm cuối (ngày)</t>
  </si>
  <si>
    <t xml:space="preserve">t (ngày)</t>
  </si>
  <si>
    <t xml:space="preserve">R hôm nay</t>
  </si>
  <si>
    <t xml:space="preserve">Hạn ôn</t>
  </si>
  <si>
    <t xml:space="preserve">Thuộc nhóm</t>
  </si>
  <si>
    <t xml:space="preserve">Thống kê</t>
  </si>
  <si>
    <t xml:space="preserve">ĐSSĐ</t>
  </si>
  <si>
    <t xml:space="preserve">Chưa làm</t>
  </si>
  <si>
    <t xml:space="preserve">ĐĐ</t>
  </si>
  <si>
    <t xml:space="preserve">SSĐĐĐ</t>
  </si>
  <si>
    <t xml:space="preserve">ĐSĐ</t>
  </si>
  <si>
    <t xml:space="preserve">Yếu + sắp quên</t>
  </si>
  <si>
    <t xml:space="preserve">SĐSĐĐ</t>
  </si>
  <si>
    <t xml:space="preserve">Ổn định</t>
  </si>
  <si>
    <t xml:space="preserve">ĐSSSĐ</t>
  </si>
  <si>
    <t xml:space="preserve">SĐĐS</t>
  </si>
  <si>
    <t xml:space="preserve">SSĐĐ</t>
  </si>
  <si>
    <t xml:space="preserve">Q43</t>
  </si>
  <si>
    <t xml:space="preserve">Q44</t>
  </si>
  <si>
    <t xml:space="preserve">Q45</t>
  </si>
  <si>
    <t xml:space="preserve">Q46</t>
  </si>
  <si>
    <t xml:space="preserve">Q47</t>
  </si>
  <si>
    <t xml:space="preserve">Q48</t>
  </si>
  <si>
    <t xml:space="preserve">Q49</t>
  </si>
  <si>
    <t xml:space="preserve">Q50</t>
  </si>
  <si>
    <t xml:space="preserve">Cùng trạng thái trước phiên 10 (ngày 17), ba loại phiên chọn 7 câu ôn khác nhau (+3 câu mới như nhau)</t>
  </si>
  <si>
    <t xml:space="preserve">Điểm yếu (7 câu Yếu)</t>
  </si>
  <si>
    <t xml:space="preserve">Củng cố (7 câu Sắp quên)</t>
  </si>
  <si>
    <t xml:space="preserve">Cân bằng (4 Yếu + 3 Sắp quên)</t>
  </si>
  <si>
    <t xml:space="preserve">Nhóm</t>
  </si>
  <si>
    <t xml:space="preserve">Lịch sử</t>
  </si>
  <si>
    <t xml:space="preserve">t</t>
  </si>
  <si>
    <t xml:space="preserve">R</t>
  </si>
  <si>
    <t xml:space="preserve">Nhóm Yếu có 15 câu, nhóm Sắp quên có 37 câu, còn 11 câu chưa làm. Hai nhóm trùng nhau 15 câu.</t>
  </si>
  <si>
    <t xml:space="preserve">Cả ba phiên đều lấy thêm 3 câu mới: Q40, Q41, Q42.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</si>
</sst>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5F5B"/>
        <bgColor rgb="FF555555"/>
      </patternFill>
    </fill>
    <fill>
      <patternFill patternType="solid">
        <fgColor rgb="FFE8F0FE"/>
        <bgColor rgb="FFFDE7E4"/>
      </patternFill>
    </fill>
    <fill>
      <patternFill patternType="solid">
        <fgColor rgb="FFFDE7E4"/>
        <bgColor rgb="FFFFF4D6"/>
      </patternFill>
    </fill>
    <fill>
      <patternFill patternType="solid">
        <fgColor rgb="FFFFF4D6"/>
        <bgColor rgb="FFFDE7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F5B"/>
      <rgbColor rgb="FFC0C0C0"/>
      <rgbColor rgb="FF808080"/>
      <rgbColor rgb="FF9999FF"/>
      <rgbColor rgb="FF993366"/>
      <rgbColor rgb="FFFFF4D6"/>
      <rgbColor rgb="FFE8F0F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E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0.9</v>
      </c>
      <c r="C5" s="4" t="s">
        <v>6</v>
      </c>
    </row>
    <row r="6" customFormat="false" ht="15" hidden="false" customHeight="false" outlineLevel="0" collapsed="false">
      <c r="A6" s="4" t="s">
        <v>7</v>
      </c>
      <c r="B6" s="6" t="n">
        <v>0.5</v>
      </c>
      <c r="C6" s="4" t="s">
        <v>8</v>
      </c>
    </row>
    <row r="7" customFormat="false" ht="15" hidden="false" customHeight="false" outlineLevel="0" collapsed="false">
      <c r="A7" s="4" t="s">
        <v>9</v>
      </c>
      <c r="B7" s="7" t="n">
        <v>5</v>
      </c>
      <c r="C7" s="4" t="s">
        <v>10</v>
      </c>
    </row>
    <row r="8" customFormat="false" ht="15" hidden="false" customHeight="false" outlineLevel="0" collapsed="false">
      <c r="A8" s="4" t="s">
        <v>11</v>
      </c>
      <c r="B8" s="7" t="n">
        <v>20</v>
      </c>
      <c r="C8" s="4" t="s">
        <v>12</v>
      </c>
    </row>
    <row r="9" customFormat="false" ht="15" hidden="false" customHeight="false" outlineLevel="0" collapsed="false">
      <c r="A9" s="4" t="s">
        <v>13</v>
      </c>
      <c r="B9" s="7" t="n">
        <v>10</v>
      </c>
      <c r="C9" s="4"/>
    </row>
    <row r="10" customFormat="false" ht="15" hidden="false" customHeight="false" outlineLevel="0" collapsed="false">
      <c r="A10" s="4" t="s">
        <v>14</v>
      </c>
      <c r="B10" s="7" t="n">
        <v>3</v>
      </c>
      <c r="C10" s="4" t="s">
        <v>15</v>
      </c>
    </row>
    <row r="11" customFormat="false" ht="15" hidden="false" customHeight="false" outlineLevel="0" collapsed="false">
      <c r="A11" s="4" t="s">
        <v>16</v>
      </c>
      <c r="B11" s="7" t="n">
        <v>4</v>
      </c>
      <c r="C11" s="4" t="s">
        <v>17</v>
      </c>
    </row>
    <row r="12" customFormat="false" ht="15" hidden="false" customHeight="false" outlineLevel="0" collapsed="false">
      <c r="A12" s="4" t="s">
        <v>18</v>
      </c>
      <c r="B12" s="7" t="n">
        <v>3</v>
      </c>
      <c r="C12" s="4" t="s">
        <v>17</v>
      </c>
    </row>
    <row r="15" customFormat="false" ht="15" hidden="false" customHeight="false" outlineLevel="0" collapsed="false">
      <c r="A15" s="8" t="s">
        <v>19</v>
      </c>
    </row>
    <row r="16" customFormat="false" ht="45" hidden="false" customHeight="true" outlineLevel="0" collapsed="false">
      <c r="A16" s="3" t="s">
        <v>20</v>
      </c>
      <c r="B16" s="3" t="s">
        <v>21</v>
      </c>
      <c r="C16" s="3" t="s">
        <v>22</v>
      </c>
    </row>
    <row r="17" customFormat="false" ht="15" hidden="false" customHeight="false" outlineLevel="0" collapsed="false">
      <c r="A17" s="4" t="n">
        <v>1</v>
      </c>
      <c r="B17" s="7" t="n">
        <v>1</v>
      </c>
      <c r="C17" s="4" t="s">
        <v>23</v>
      </c>
    </row>
    <row r="18" customFormat="false" ht="15" hidden="false" customHeight="false" outlineLevel="0" collapsed="false">
      <c r="A18" s="4" t="n">
        <v>2</v>
      </c>
      <c r="B18" s="7" t="n">
        <v>3</v>
      </c>
      <c r="C18" s="4" t="s">
        <v>24</v>
      </c>
    </row>
    <row r="19" customFormat="false" ht="15" hidden="false" customHeight="false" outlineLevel="0" collapsed="false">
      <c r="A19" s="4" t="n">
        <v>3</v>
      </c>
      <c r="B19" s="7" t="n">
        <v>7</v>
      </c>
      <c r="C19" s="4"/>
    </row>
    <row r="20" customFormat="false" ht="15" hidden="false" customHeight="false" outlineLevel="0" collapsed="false">
      <c r="A20" s="4" t="n">
        <v>4</v>
      </c>
      <c r="B20" s="7" t="n">
        <v>14</v>
      </c>
      <c r="C20" s="4"/>
    </row>
    <row r="21" customFormat="false" ht="15" hidden="false" customHeight="false" outlineLevel="0" collapsed="false">
      <c r="A21" s="4" t="n">
        <v>5</v>
      </c>
      <c r="B21" s="7" t="n">
        <v>30</v>
      </c>
      <c r="C21" s="4"/>
    </row>
    <row r="22" customFormat="false" ht="15" hidden="false" customHeight="false" outlineLevel="0" collapsed="false">
      <c r="A22" s="4" t="n">
        <v>6</v>
      </c>
      <c r="B22" s="7" t="n">
        <v>60</v>
      </c>
      <c r="C22" s="4" t="s">
        <v>25</v>
      </c>
    </row>
    <row r="24" customFormat="false" ht="15" hidden="false" customHeight="false" outlineLevel="0" collapsed="false">
      <c r="A24" s="8" t="s">
        <v>26</v>
      </c>
    </row>
    <row r="25" customFormat="false" ht="15" hidden="false" customHeight="false" outlineLevel="0" collapsed="false">
      <c r="A25" s="4" t="s">
        <v>27</v>
      </c>
    </row>
    <row r="26" customFormat="false" ht="15" hidden="false" customHeight="false" outlineLevel="0" collapsed="false">
      <c r="A26" s="4" t="s">
        <v>28</v>
      </c>
    </row>
    <row r="27" customFormat="false" ht="15" hidden="false" customHeight="false" outlineLevel="0" collapsed="false">
      <c r="A27" s="4" t="s">
        <v>29</v>
      </c>
    </row>
    <row r="28" customFormat="false" ht="15" hidden="false" customHeight="false" outlineLevel="0" collapsed="false">
      <c r="A28" s="4" t="s">
        <v>30</v>
      </c>
    </row>
    <row r="29" customFormat="false" ht="15" hidden="false" customHeight="false" outlineLevel="0" collapsed="false">
      <c r="A29" s="4" t="s">
        <v>31</v>
      </c>
    </row>
    <row r="30" customFormat="false" ht="15" hidden="false" customHeight="false" outlineLevel="0" collapsed="false">
      <c r="A30" s="4" t="s">
        <v>32</v>
      </c>
    </row>
    <row r="31" customFormat="false" ht="15" hidden="false" customHeight="false" outlineLevel="0" collapsed="false">
      <c r="A31" s="4" t="s">
        <v>33</v>
      </c>
    </row>
    <row r="32" customFormat="false" ht="15" hidden="false" customHeight="false" outlineLevel="0" collapsed="false">
      <c r="A32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2" min="10" style="0" width="9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34"/>
  </cols>
  <sheetData>
    <row r="1" customFormat="false" ht="45" hidden="false" customHeight="true" outlineLevel="0" collapsed="false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</row>
    <row r="2" customFormat="false" ht="15" hidden="false" customHeight="false" outlineLevel="0" collapsed="false">
      <c r="A2" s="9" t="n">
        <v>1</v>
      </c>
      <c r="B2" s="10" t="n">
        <v>1</v>
      </c>
      <c r="C2" s="9" t="n">
        <v>1</v>
      </c>
      <c r="D2" s="9" t="s">
        <v>52</v>
      </c>
      <c r="E2" s="9" t="s">
        <v>53</v>
      </c>
      <c r="F2" s="11" t="s">
        <v>54</v>
      </c>
      <c r="G2" s="12" t="str">
        <f aca="false">IF(F2="—","—",(LEN(F2)-LEN(SUBSTITUTE(F2,"S",""))+1)/(LEN(F2)+2))</f>
        <v>—</v>
      </c>
      <c r="H2" s="11" t="s">
        <v>54</v>
      </c>
      <c r="I2" s="11" t="s">
        <v>54</v>
      </c>
      <c r="J2" s="12" t="str">
        <f aca="false">IF(H2="—","—",'Quy tac'!$B$5^(I2/H2))</f>
        <v>—</v>
      </c>
      <c r="K2" s="9" t="str">
        <f aca="false">IF(H2="—","Câu mới",IF(I2&gt;=H2,"Có","Chưa"))</f>
        <v>Câu mới</v>
      </c>
      <c r="L2" s="11" t="s">
        <v>55</v>
      </c>
      <c r="M2" s="9" t="str">
        <f aca="false">RIGHT(IF(F2="—","",F2)&amp;IF(L2="Đúng","Đ","S"),'Quy tac'!$B$7)</f>
        <v>Đ</v>
      </c>
      <c r="N2" s="12" t="n">
        <f aca="false">(LEN(M2)-LEN(SUBSTITUTE(M2,"S",""))+1)/(LEN(M2)+2)</f>
        <v>0.333333333333333</v>
      </c>
      <c r="O2" s="9" t="n">
        <f aca="false">IF(H2="—",IF(L2="Đúng",INDEX('Quy tac'!$B$17:$B$22,2),INDEX('Quy tac'!$B$17:$B$22,1)),IF(L2="Sai",INDEX('Quy tac'!$B$17:$B$22,1),IF(I2&gt;=H2,INDEX('Quy tac'!$B$17:$B$22,MIN(MATCH(H2,'Quy tac'!$B$17:$B$22,0)+1,6)),H2)))</f>
        <v>3</v>
      </c>
      <c r="P2" s="10" t="n">
        <f aca="false">B2+O2</f>
        <v>4</v>
      </c>
      <c r="Q2" s="13" t="str">
        <f aca="false">IF(H2="—",IF(L2="Đúng","Lần đầu đúng → 3 ngày","Lần đầu sai → 1 ngày"),IF(L2="Sai","Sai → về 1 ngày",IF(I2&gt;=H2,"Đúng, đến hạn → lên 1 bậc","Đúng nhưng ôn sớm → giữ bậc")))</f>
        <v>Lần đầu đúng → 3 ngày</v>
      </c>
    </row>
    <row r="3" customFormat="false" ht="15" hidden="false" customHeight="false" outlineLevel="0" collapsed="false">
      <c r="A3" s="9" t="n">
        <v>1</v>
      </c>
      <c r="B3" s="10" t="n">
        <v>1</v>
      </c>
      <c r="C3" s="9" t="n">
        <v>2</v>
      </c>
      <c r="D3" s="9" t="s">
        <v>56</v>
      </c>
      <c r="E3" s="9" t="s">
        <v>53</v>
      </c>
      <c r="F3" s="11" t="s">
        <v>54</v>
      </c>
      <c r="G3" s="12" t="str">
        <f aca="false">IF(F3="—","—",(LEN(F3)-LEN(SUBSTITUTE(F3,"S",""))+1)/(LEN(F3)+2))</f>
        <v>—</v>
      </c>
      <c r="H3" s="11" t="s">
        <v>54</v>
      </c>
      <c r="I3" s="11" t="s">
        <v>54</v>
      </c>
      <c r="J3" s="12" t="str">
        <f aca="false">IF(H3="—","—",'Quy tac'!$B$5^(I3/H3))</f>
        <v>—</v>
      </c>
      <c r="K3" s="9" t="str">
        <f aca="false">IF(H3="—","Câu mới",IF(I3&gt;=H3,"Có","Chưa"))</f>
        <v>Câu mới</v>
      </c>
      <c r="L3" s="11" t="s">
        <v>55</v>
      </c>
      <c r="M3" s="9" t="str">
        <f aca="false">RIGHT(IF(F3="—","",F3)&amp;IF(L3="Đúng","Đ","S"),'Quy tac'!$B$7)</f>
        <v>Đ</v>
      </c>
      <c r="N3" s="12" t="n">
        <f aca="false">(LEN(M3)-LEN(SUBSTITUTE(M3,"S",""))+1)/(LEN(M3)+2)</f>
        <v>0.333333333333333</v>
      </c>
      <c r="O3" s="9" t="n">
        <f aca="false">IF(H3="—",IF(L3="Đúng",INDEX('Quy tac'!$B$17:$B$22,2),INDEX('Quy tac'!$B$17:$B$22,1)),IF(L3="Sai",INDEX('Quy tac'!$B$17:$B$22,1),IF(I3&gt;=H3,INDEX('Quy tac'!$B$17:$B$22,MIN(MATCH(H3,'Quy tac'!$B$17:$B$22,0)+1,6)),H3)))</f>
        <v>3</v>
      </c>
      <c r="P3" s="10" t="n">
        <f aca="false">B3+O3</f>
        <v>4</v>
      </c>
      <c r="Q3" s="13" t="str">
        <f aca="false">IF(H3="—",IF(L3="Đúng","Lần đầu đúng → 3 ngày","Lần đầu sai → 1 ngày"),IF(L3="Sai","Sai → về 1 ngày",IF(I3&gt;=H3,"Đúng, đến hạn → lên 1 bậc","Đúng nhưng ôn sớm → giữ bậc")))</f>
        <v>Lần đầu đúng → 3 ngày</v>
      </c>
    </row>
    <row r="4" customFormat="false" ht="15" hidden="false" customHeight="false" outlineLevel="0" collapsed="false">
      <c r="A4" s="9" t="n">
        <v>1</v>
      </c>
      <c r="B4" s="10" t="n">
        <v>1</v>
      </c>
      <c r="C4" s="9" t="n">
        <v>3</v>
      </c>
      <c r="D4" s="9" t="s">
        <v>57</v>
      </c>
      <c r="E4" s="9" t="s">
        <v>53</v>
      </c>
      <c r="F4" s="11" t="s">
        <v>54</v>
      </c>
      <c r="G4" s="12" t="str">
        <f aca="false">IF(F4="—","—",(LEN(F4)-LEN(SUBSTITUTE(F4,"S",""))+1)/(LEN(F4)+2))</f>
        <v>—</v>
      </c>
      <c r="H4" s="11" t="s">
        <v>54</v>
      </c>
      <c r="I4" s="11" t="s">
        <v>54</v>
      </c>
      <c r="J4" s="12" t="str">
        <f aca="false">IF(H4="—","—",'Quy tac'!$B$5^(I4/H4))</f>
        <v>—</v>
      </c>
      <c r="K4" s="9" t="str">
        <f aca="false">IF(H4="—","Câu mới",IF(I4&gt;=H4,"Có","Chưa"))</f>
        <v>Câu mới</v>
      </c>
      <c r="L4" s="11" t="s">
        <v>58</v>
      </c>
      <c r="M4" s="9" t="str">
        <f aca="false">RIGHT(IF(F4="—","",F4)&amp;IF(L4="Đúng","Đ","S"),'Quy tac'!$B$7)</f>
        <v>S</v>
      </c>
      <c r="N4" s="12" t="n">
        <f aca="false">(LEN(M4)-LEN(SUBSTITUTE(M4,"S",""))+1)/(LEN(M4)+2)</f>
        <v>0.666666666666667</v>
      </c>
      <c r="O4" s="9" t="n">
        <f aca="false">IF(H4="—",IF(L4="Đúng",INDEX('Quy tac'!$B$17:$B$22,2),INDEX('Quy tac'!$B$17:$B$22,1)),IF(L4="Sai",INDEX('Quy tac'!$B$17:$B$22,1),IF(I4&gt;=H4,INDEX('Quy tac'!$B$17:$B$22,MIN(MATCH(H4,'Quy tac'!$B$17:$B$22,0)+1,6)),H4)))</f>
        <v>1</v>
      </c>
      <c r="P4" s="10" t="n">
        <f aca="false">B4+O4</f>
        <v>2</v>
      </c>
      <c r="Q4" s="13" t="str">
        <f aca="false">IF(H4="—",IF(L4="Đúng","Lần đầu đúng → 3 ngày","Lần đầu sai → 1 ngày"),IF(L4="Sai","Sai → về 1 ngày",IF(I4&gt;=H4,"Đúng, đến hạn → lên 1 bậc","Đúng nhưng ôn sớm → giữ bậc")))</f>
        <v>Lần đầu sai → 1 ngày</v>
      </c>
    </row>
    <row r="5" customFormat="false" ht="15" hidden="false" customHeight="false" outlineLevel="0" collapsed="false">
      <c r="A5" s="9" t="n">
        <v>1</v>
      </c>
      <c r="B5" s="10" t="n">
        <v>1</v>
      </c>
      <c r="C5" s="9" t="n">
        <v>4</v>
      </c>
      <c r="D5" s="9" t="s">
        <v>59</v>
      </c>
      <c r="E5" s="9" t="s">
        <v>53</v>
      </c>
      <c r="F5" s="11" t="s">
        <v>54</v>
      </c>
      <c r="G5" s="12" t="str">
        <f aca="false">IF(F5="—","—",(LEN(F5)-LEN(SUBSTITUTE(F5,"S",""))+1)/(LEN(F5)+2))</f>
        <v>—</v>
      </c>
      <c r="H5" s="11" t="s">
        <v>54</v>
      </c>
      <c r="I5" s="11" t="s">
        <v>54</v>
      </c>
      <c r="J5" s="12" t="str">
        <f aca="false">IF(H5="—","—",'Quy tac'!$B$5^(I5/H5))</f>
        <v>—</v>
      </c>
      <c r="K5" s="9" t="str">
        <f aca="false">IF(H5="—","Câu mới",IF(I5&gt;=H5,"Có","Chưa"))</f>
        <v>Câu mới</v>
      </c>
      <c r="L5" s="11" t="s">
        <v>55</v>
      </c>
      <c r="M5" s="9" t="str">
        <f aca="false">RIGHT(IF(F5="—","",F5)&amp;IF(L5="Đúng","Đ","S"),'Quy tac'!$B$7)</f>
        <v>Đ</v>
      </c>
      <c r="N5" s="12" t="n">
        <f aca="false">(LEN(M5)-LEN(SUBSTITUTE(M5,"S",""))+1)/(LEN(M5)+2)</f>
        <v>0.333333333333333</v>
      </c>
      <c r="O5" s="9" t="n">
        <f aca="false">IF(H5="—",IF(L5="Đúng",INDEX('Quy tac'!$B$17:$B$22,2),INDEX('Quy tac'!$B$17:$B$22,1)),IF(L5="Sai",INDEX('Quy tac'!$B$17:$B$22,1),IF(I5&gt;=H5,INDEX('Quy tac'!$B$17:$B$22,MIN(MATCH(H5,'Quy tac'!$B$17:$B$22,0)+1,6)),H5)))</f>
        <v>3</v>
      </c>
      <c r="P5" s="10" t="n">
        <f aca="false">B5+O5</f>
        <v>4</v>
      </c>
      <c r="Q5" s="13" t="str">
        <f aca="false">IF(H5="—",IF(L5="Đúng","Lần đầu đúng → 3 ngày","Lần đầu sai → 1 ngày"),IF(L5="Sai","Sai → về 1 ngày",IF(I5&gt;=H5,"Đúng, đến hạn → lên 1 bậc","Đúng nhưng ôn sớm → giữ bậc")))</f>
        <v>Lần đầu đúng → 3 ngày</v>
      </c>
    </row>
    <row r="6" customFormat="false" ht="15" hidden="false" customHeight="false" outlineLevel="0" collapsed="false">
      <c r="A6" s="9" t="n">
        <v>1</v>
      </c>
      <c r="B6" s="10" t="n">
        <v>1</v>
      </c>
      <c r="C6" s="9" t="n">
        <v>5</v>
      </c>
      <c r="D6" s="9" t="s">
        <v>60</v>
      </c>
      <c r="E6" s="9" t="s">
        <v>53</v>
      </c>
      <c r="F6" s="11" t="s">
        <v>54</v>
      </c>
      <c r="G6" s="12" t="str">
        <f aca="false">IF(F6="—","—",(LEN(F6)-LEN(SUBSTITUTE(F6,"S",""))+1)/(LEN(F6)+2))</f>
        <v>—</v>
      </c>
      <c r="H6" s="11" t="s">
        <v>54</v>
      </c>
      <c r="I6" s="11" t="s">
        <v>54</v>
      </c>
      <c r="J6" s="12" t="str">
        <f aca="false">IF(H6="—","—",'Quy tac'!$B$5^(I6/H6))</f>
        <v>—</v>
      </c>
      <c r="K6" s="9" t="str">
        <f aca="false">IF(H6="—","Câu mới",IF(I6&gt;=H6,"Có","Chưa"))</f>
        <v>Câu mới</v>
      </c>
      <c r="L6" s="11" t="s">
        <v>58</v>
      </c>
      <c r="M6" s="9" t="str">
        <f aca="false">RIGHT(IF(F6="—","",F6)&amp;IF(L6="Đúng","Đ","S"),'Quy tac'!$B$7)</f>
        <v>S</v>
      </c>
      <c r="N6" s="12" t="n">
        <f aca="false">(LEN(M6)-LEN(SUBSTITUTE(M6,"S",""))+1)/(LEN(M6)+2)</f>
        <v>0.666666666666667</v>
      </c>
      <c r="O6" s="9" t="n">
        <f aca="false">IF(H6="—",IF(L6="Đúng",INDEX('Quy tac'!$B$17:$B$22,2),INDEX('Quy tac'!$B$17:$B$22,1)),IF(L6="Sai",INDEX('Quy tac'!$B$17:$B$22,1),IF(I6&gt;=H6,INDEX('Quy tac'!$B$17:$B$22,MIN(MATCH(H6,'Quy tac'!$B$17:$B$22,0)+1,6)),H6)))</f>
        <v>1</v>
      </c>
      <c r="P6" s="10" t="n">
        <f aca="false">B6+O6</f>
        <v>2</v>
      </c>
      <c r="Q6" s="13" t="str">
        <f aca="false">IF(H6="—",IF(L6="Đúng","Lần đầu đúng → 3 ngày","Lần đầu sai → 1 ngày"),IF(L6="Sai","Sai → về 1 ngày",IF(I6&gt;=H6,"Đúng, đến hạn → lên 1 bậc","Đúng nhưng ôn sớm → giữ bậc")))</f>
        <v>Lần đầu sai → 1 ngày</v>
      </c>
    </row>
    <row r="7" customFormat="false" ht="15" hidden="false" customHeight="false" outlineLevel="0" collapsed="false">
      <c r="A7" s="9" t="n">
        <v>1</v>
      </c>
      <c r="B7" s="10" t="n">
        <v>1</v>
      </c>
      <c r="C7" s="9" t="n">
        <v>6</v>
      </c>
      <c r="D7" s="9" t="s">
        <v>61</v>
      </c>
      <c r="E7" s="9" t="s">
        <v>53</v>
      </c>
      <c r="F7" s="11" t="s">
        <v>54</v>
      </c>
      <c r="G7" s="12" t="str">
        <f aca="false">IF(F7="—","—",(LEN(F7)-LEN(SUBSTITUTE(F7,"S",""))+1)/(LEN(F7)+2))</f>
        <v>—</v>
      </c>
      <c r="H7" s="11" t="s">
        <v>54</v>
      </c>
      <c r="I7" s="11" t="s">
        <v>54</v>
      </c>
      <c r="J7" s="12" t="str">
        <f aca="false">IF(H7="—","—",'Quy tac'!$B$5^(I7/H7))</f>
        <v>—</v>
      </c>
      <c r="K7" s="9" t="str">
        <f aca="false">IF(H7="—","Câu mới",IF(I7&gt;=H7,"Có","Chưa"))</f>
        <v>Câu mới</v>
      </c>
      <c r="L7" s="11" t="s">
        <v>55</v>
      </c>
      <c r="M7" s="9" t="str">
        <f aca="false">RIGHT(IF(F7="—","",F7)&amp;IF(L7="Đúng","Đ","S"),'Quy tac'!$B$7)</f>
        <v>Đ</v>
      </c>
      <c r="N7" s="12" t="n">
        <f aca="false">(LEN(M7)-LEN(SUBSTITUTE(M7,"S",""))+1)/(LEN(M7)+2)</f>
        <v>0.333333333333333</v>
      </c>
      <c r="O7" s="9" t="n">
        <f aca="false">IF(H7="—",IF(L7="Đúng",INDEX('Quy tac'!$B$17:$B$22,2),INDEX('Quy tac'!$B$17:$B$22,1)),IF(L7="Sai",INDEX('Quy tac'!$B$17:$B$22,1),IF(I7&gt;=H7,INDEX('Quy tac'!$B$17:$B$22,MIN(MATCH(H7,'Quy tac'!$B$17:$B$22,0)+1,6)),H7)))</f>
        <v>3</v>
      </c>
      <c r="P7" s="10" t="n">
        <f aca="false">B7+O7</f>
        <v>4</v>
      </c>
      <c r="Q7" s="13" t="str">
        <f aca="false">IF(H7="—",IF(L7="Đúng","Lần đầu đúng → 3 ngày","Lần đầu sai → 1 ngày"),IF(L7="Sai","Sai → về 1 ngày",IF(I7&gt;=H7,"Đúng, đến hạn → lên 1 bậc","Đúng nhưng ôn sớm → giữ bậc")))</f>
        <v>Lần đầu đúng → 3 ngày</v>
      </c>
    </row>
    <row r="8" customFormat="false" ht="15" hidden="false" customHeight="false" outlineLevel="0" collapsed="false">
      <c r="A8" s="9" t="n">
        <v>1</v>
      </c>
      <c r="B8" s="10" t="n">
        <v>1</v>
      </c>
      <c r="C8" s="9" t="n">
        <v>7</v>
      </c>
      <c r="D8" s="9" t="s">
        <v>62</v>
      </c>
      <c r="E8" s="9" t="s">
        <v>53</v>
      </c>
      <c r="F8" s="11" t="s">
        <v>54</v>
      </c>
      <c r="G8" s="12" t="str">
        <f aca="false">IF(F8="—","—",(LEN(F8)-LEN(SUBSTITUTE(F8,"S",""))+1)/(LEN(F8)+2))</f>
        <v>—</v>
      </c>
      <c r="H8" s="11" t="s">
        <v>54</v>
      </c>
      <c r="I8" s="11" t="s">
        <v>54</v>
      </c>
      <c r="J8" s="12" t="str">
        <f aca="false">IF(H8="—","—",'Quy tac'!$B$5^(I8/H8))</f>
        <v>—</v>
      </c>
      <c r="K8" s="9" t="str">
        <f aca="false">IF(H8="—","Câu mới",IF(I8&gt;=H8,"Có","Chưa"))</f>
        <v>Câu mới</v>
      </c>
      <c r="L8" s="11" t="s">
        <v>55</v>
      </c>
      <c r="M8" s="9" t="str">
        <f aca="false">RIGHT(IF(F8="—","",F8)&amp;IF(L8="Đúng","Đ","S"),'Quy tac'!$B$7)</f>
        <v>Đ</v>
      </c>
      <c r="N8" s="12" t="n">
        <f aca="false">(LEN(M8)-LEN(SUBSTITUTE(M8,"S",""))+1)/(LEN(M8)+2)</f>
        <v>0.333333333333333</v>
      </c>
      <c r="O8" s="9" t="n">
        <f aca="false">IF(H8="—",IF(L8="Đúng",INDEX('Quy tac'!$B$17:$B$22,2),INDEX('Quy tac'!$B$17:$B$22,1)),IF(L8="Sai",INDEX('Quy tac'!$B$17:$B$22,1),IF(I8&gt;=H8,INDEX('Quy tac'!$B$17:$B$22,MIN(MATCH(H8,'Quy tac'!$B$17:$B$22,0)+1,6)),H8)))</f>
        <v>3</v>
      </c>
      <c r="P8" s="10" t="n">
        <f aca="false">B8+O8</f>
        <v>4</v>
      </c>
      <c r="Q8" s="13" t="str">
        <f aca="false">IF(H8="—",IF(L8="Đúng","Lần đầu đúng → 3 ngày","Lần đầu sai → 1 ngày"),IF(L8="Sai","Sai → về 1 ngày",IF(I8&gt;=H8,"Đúng, đến hạn → lên 1 bậc","Đúng nhưng ôn sớm → giữ bậc")))</f>
        <v>Lần đầu đúng → 3 ngày</v>
      </c>
    </row>
    <row r="9" customFormat="false" ht="15" hidden="false" customHeight="false" outlineLevel="0" collapsed="false">
      <c r="A9" s="9" t="n">
        <v>1</v>
      </c>
      <c r="B9" s="10" t="n">
        <v>1</v>
      </c>
      <c r="C9" s="9" t="n">
        <v>8</v>
      </c>
      <c r="D9" s="9" t="s">
        <v>63</v>
      </c>
      <c r="E9" s="9" t="s">
        <v>53</v>
      </c>
      <c r="F9" s="11" t="s">
        <v>54</v>
      </c>
      <c r="G9" s="12" t="str">
        <f aca="false">IF(F9="—","—",(LEN(F9)-LEN(SUBSTITUTE(F9,"S",""))+1)/(LEN(F9)+2))</f>
        <v>—</v>
      </c>
      <c r="H9" s="11" t="s">
        <v>54</v>
      </c>
      <c r="I9" s="11" t="s">
        <v>54</v>
      </c>
      <c r="J9" s="12" t="str">
        <f aca="false">IF(H9="—","—",'Quy tac'!$B$5^(I9/H9))</f>
        <v>—</v>
      </c>
      <c r="K9" s="9" t="str">
        <f aca="false">IF(H9="—","Câu mới",IF(I9&gt;=H9,"Có","Chưa"))</f>
        <v>Câu mới</v>
      </c>
      <c r="L9" s="11" t="s">
        <v>55</v>
      </c>
      <c r="M9" s="9" t="str">
        <f aca="false">RIGHT(IF(F9="—","",F9)&amp;IF(L9="Đúng","Đ","S"),'Quy tac'!$B$7)</f>
        <v>Đ</v>
      </c>
      <c r="N9" s="12" t="n">
        <f aca="false">(LEN(M9)-LEN(SUBSTITUTE(M9,"S",""))+1)/(LEN(M9)+2)</f>
        <v>0.333333333333333</v>
      </c>
      <c r="O9" s="9" t="n">
        <f aca="false">IF(H9="—",IF(L9="Đúng",INDEX('Quy tac'!$B$17:$B$22,2),INDEX('Quy tac'!$B$17:$B$22,1)),IF(L9="Sai",INDEX('Quy tac'!$B$17:$B$22,1),IF(I9&gt;=H9,INDEX('Quy tac'!$B$17:$B$22,MIN(MATCH(H9,'Quy tac'!$B$17:$B$22,0)+1,6)),H9)))</f>
        <v>3</v>
      </c>
      <c r="P9" s="10" t="n">
        <f aca="false">B9+O9</f>
        <v>4</v>
      </c>
      <c r="Q9" s="13" t="str">
        <f aca="false">IF(H9="—",IF(L9="Đúng","Lần đầu đúng → 3 ngày","Lần đầu sai → 1 ngày"),IF(L9="Sai","Sai → về 1 ngày",IF(I9&gt;=H9,"Đúng, đến hạn → lên 1 bậc","Đúng nhưng ôn sớm → giữ bậc")))</f>
        <v>Lần đầu đúng → 3 ngày</v>
      </c>
    </row>
    <row r="10" customFormat="false" ht="15" hidden="false" customHeight="false" outlineLevel="0" collapsed="false">
      <c r="A10" s="9" t="n">
        <v>1</v>
      </c>
      <c r="B10" s="10" t="n">
        <v>1</v>
      </c>
      <c r="C10" s="9" t="n">
        <v>9</v>
      </c>
      <c r="D10" s="9" t="s">
        <v>64</v>
      </c>
      <c r="E10" s="9" t="s">
        <v>53</v>
      </c>
      <c r="F10" s="11" t="s">
        <v>54</v>
      </c>
      <c r="G10" s="12" t="str">
        <f aca="false">IF(F10="—","—",(LEN(F10)-LEN(SUBSTITUTE(F10,"S",""))+1)/(LEN(F10)+2))</f>
        <v>—</v>
      </c>
      <c r="H10" s="11" t="s">
        <v>54</v>
      </c>
      <c r="I10" s="11" t="s">
        <v>54</v>
      </c>
      <c r="J10" s="12" t="str">
        <f aca="false">IF(H10="—","—",'Quy tac'!$B$5^(I10/H10))</f>
        <v>—</v>
      </c>
      <c r="K10" s="9" t="str">
        <f aca="false">IF(H10="—","Câu mới",IF(I10&gt;=H10,"Có","Chưa"))</f>
        <v>Câu mới</v>
      </c>
      <c r="L10" s="11" t="s">
        <v>55</v>
      </c>
      <c r="M10" s="9" t="str">
        <f aca="false">RIGHT(IF(F10="—","",F10)&amp;IF(L10="Đúng","Đ","S"),'Quy tac'!$B$7)</f>
        <v>Đ</v>
      </c>
      <c r="N10" s="12" t="n">
        <f aca="false">(LEN(M10)-LEN(SUBSTITUTE(M10,"S",""))+1)/(LEN(M10)+2)</f>
        <v>0.333333333333333</v>
      </c>
      <c r="O10" s="9" t="n">
        <f aca="false">IF(H10="—",IF(L10="Đúng",INDEX('Quy tac'!$B$17:$B$22,2),INDEX('Quy tac'!$B$17:$B$22,1)),IF(L10="Sai",INDEX('Quy tac'!$B$17:$B$22,1),IF(I10&gt;=H10,INDEX('Quy tac'!$B$17:$B$22,MIN(MATCH(H10,'Quy tac'!$B$17:$B$22,0)+1,6)),H10)))</f>
        <v>3</v>
      </c>
      <c r="P10" s="10" t="n">
        <f aca="false">B10+O10</f>
        <v>4</v>
      </c>
      <c r="Q10" s="13" t="str">
        <f aca="false">IF(H10="—",IF(L10="Đúng","Lần đầu đúng → 3 ngày","Lần đầu sai → 1 ngày"),IF(L10="Sai","Sai → về 1 ngày",IF(I10&gt;=H10,"Đúng, đến hạn → lên 1 bậc","Đúng nhưng ôn sớm → giữ bậc")))</f>
        <v>Lần đầu đúng → 3 ngày</v>
      </c>
    </row>
    <row r="11" customFormat="false" ht="15" hidden="false" customHeight="false" outlineLevel="0" collapsed="false">
      <c r="A11" s="9" t="n">
        <v>1</v>
      </c>
      <c r="B11" s="10" t="n">
        <v>1</v>
      </c>
      <c r="C11" s="9" t="n">
        <v>10</v>
      </c>
      <c r="D11" s="9" t="s">
        <v>65</v>
      </c>
      <c r="E11" s="9" t="s">
        <v>53</v>
      </c>
      <c r="F11" s="11" t="s">
        <v>54</v>
      </c>
      <c r="G11" s="12" t="str">
        <f aca="false">IF(F11="—","—",(LEN(F11)-LEN(SUBSTITUTE(F11,"S",""))+1)/(LEN(F11)+2))</f>
        <v>—</v>
      </c>
      <c r="H11" s="11" t="s">
        <v>54</v>
      </c>
      <c r="I11" s="11" t="s">
        <v>54</v>
      </c>
      <c r="J11" s="12" t="str">
        <f aca="false">IF(H11="—","—",'Quy tac'!$B$5^(I11/H11))</f>
        <v>—</v>
      </c>
      <c r="K11" s="9" t="str">
        <f aca="false">IF(H11="—","Câu mới",IF(I11&gt;=H11,"Có","Chưa"))</f>
        <v>Câu mới</v>
      </c>
      <c r="L11" s="11" t="s">
        <v>58</v>
      </c>
      <c r="M11" s="9" t="str">
        <f aca="false">RIGHT(IF(F11="—","",F11)&amp;IF(L11="Đúng","Đ","S"),'Quy tac'!$B$7)</f>
        <v>S</v>
      </c>
      <c r="N11" s="12" t="n">
        <f aca="false">(LEN(M11)-LEN(SUBSTITUTE(M11,"S",""))+1)/(LEN(M11)+2)</f>
        <v>0.666666666666667</v>
      </c>
      <c r="O11" s="9" t="n">
        <f aca="false">IF(H11="—",IF(L11="Đúng",INDEX('Quy tac'!$B$17:$B$22,2),INDEX('Quy tac'!$B$17:$B$22,1)),IF(L11="Sai",INDEX('Quy tac'!$B$17:$B$22,1),IF(I11&gt;=H11,INDEX('Quy tac'!$B$17:$B$22,MIN(MATCH(H11,'Quy tac'!$B$17:$B$22,0)+1,6)),H11)))</f>
        <v>1</v>
      </c>
      <c r="P11" s="10" t="n">
        <f aca="false">B11+O11</f>
        <v>2</v>
      </c>
      <c r="Q11" s="13" t="str">
        <f aca="false">IF(H11="—",IF(L11="Đúng","Lần đầu đúng → 3 ngày","Lần đầu sai → 1 ngày"),IF(L11="Sai","Sai → về 1 ngày",IF(I11&gt;=H11,"Đúng, đến hạn → lên 1 bậc","Đúng nhưng ôn sớm → giữ bậc")))</f>
        <v>Lần đầu sai → 1 ngày</v>
      </c>
    </row>
    <row r="12" customFormat="false" ht="15" hidden="false" customHeight="false" outlineLevel="0" collapsed="false">
      <c r="A12" s="14" t="n">
        <v>2</v>
      </c>
      <c r="B12" s="15" t="n">
        <v>2</v>
      </c>
      <c r="C12" s="14" t="n">
        <v>1</v>
      </c>
      <c r="D12" s="14" t="s">
        <v>57</v>
      </c>
      <c r="E12" s="14" t="s">
        <v>66</v>
      </c>
      <c r="F12" s="16" t="s">
        <v>67</v>
      </c>
      <c r="G12" s="17" t="n">
        <f aca="false">IF(F12="—","—",(LEN(F12)-LEN(SUBSTITUTE(F12,"S",""))+1)/(LEN(F12)+2))</f>
        <v>0.666666666666667</v>
      </c>
      <c r="H12" s="16" t="n">
        <v>1</v>
      </c>
      <c r="I12" s="16" t="n">
        <v>1</v>
      </c>
      <c r="J12" s="17" t="n">
        <f aca="false">IF(H12="—","—",'Quy tac'!$B$5^(I12/H12))</f>
        <v>0.9</v>
      </c>
      <c r="K12" s="14" t="str">
        <f aca="false">IF(H12="—","Câu mới",IF(I12&gt;=H12,"Có","Chưa"))</f>
        <v>Có</v>
      </c>
      <c r="L12" s="16" t="s">
        <v>58</v>
      </c>
      <c r="M12" s="14" t="str">
        <f aca="false">RIGHT(IF(F12="—","",F12)&amp;IF(L12="Đúng","Đ","S"),'Quy tac'!$B$7)</f>
        <v>SS</v>
      </c>
      <c r="N12" s="17" t="n">
        <f aca="false">(LEN(M12)-LEN(SUBSTITUTE(M12,"S",""))+1)/(LEN(M12)+2)</f>
        <v>0.75</v>
      </c>
      <c r="O12" s="14" t="n">
        <f aca="false">IF(H12="—",IF(L12="Đúng",INDEX('Quy tac'!$B$17:$B$22,2),INDEX('Quy tac'!$B$17:$B$22,1)),IF(L12="Sai",INDEX('Quy tac'!$B$17:$B$22,1),IF(I12&gt;=H12,INDEX('Quy tac'!$B$17:$B$22,MIN(MATCH(H12,'Quy tac'!$B$17:$B$22,0)+1,6)),H12)))</f>
        <v>1</v>
      </c>
      <c r="P12" s="15" t="n">
        <f aca="false">B12+O12</f>
        <v>3</v>
      </c>
      <c r="Q12" s="18" t="str">
        <f aca="false">IF(H12="—",IF(L12="Đúng","Lần đầu đúng → 3 ngày","Lần đầu sai → 1 ngày"),IF(L12="Sai","Sai → về 1 ngày",IF(I12&gt;=H12,"Đúng, đến hạn → lên 1 bậc","Đúng nhưng ôn sớm → giữ bậc")))</f>
        <v>Sai → về 1 ngày</v>
      </c>
    </row>
    <row r="13" customFormat="false" ht="15" hidden="false" customHeight="false" outlineLevel="0" collapsed="false">
      <c r="A13" s="14" t="n">
        <v>2</v>
      </c>
      <c r="B13" s="15" t="n">
        <v>2</v>
      </c>
      <c r="C13" s="14" t="n">
        <v>2</v>
      </c>
      <c r="D13" s="14" t="s">
        <v>60</v>
      </c>
      <c r="E13" s="14" t="s">
        <v>66</v>
      </c>
      <c r="F13" s="16" t="s">
        <v>67</v>
      </c>
      <c r="G13" s="17" t="n">
        <f aca="false">IF(F13="—","—",(LEN(F13)-LEN(SUBSTITUTE(F13,"S",""))+1)/(LEN(F13)+2))</f>
        <v>0.666666666666667</v>
      </c>
      <c r="H13" s="16" t="n">
        <v>1</v>
      </c>
      <c r="I13" s="16" t="n">
        <v>1</v>
      </c>
      <c r="J13" s="17" t="n">
        <f aca="false">IF(H13="—","—",'Quy tac'!$B$5^(I13/H13))</f>
        <v>0.9</v>
      </c>
      <c r="K13" s="14" t="str">
        <f aca="false">IF(H13="—","Câu mới",IF(I13&gt;=H13,"Có","Chưa"))</f>
        <v>Có</v>
      </c>
      <c r="L13" s="16" t="s">
        <v>55</v>
      </c>
      <c r="M13" s="14" t="str">
        <f aca="false">RIGHT(IF(F13="—","",F13)&amp;IF(L13="Đúng","Đ","S"),'Quy tac'!$B$7)</f>
        <v>SĐ</v>
      </c>
      <c r="N13" s="17" t="n">
        <f aca="false">(LEN(M13)-LEN(SUBSTITUTE(M13,"S",""))+1)/(LEN(M13)+2)</f>
        <v>0.5</v>
      </c>
      <c r="O13" s="14" t="n">
        <f aca="false">IF(H13="—",IF(L13="Đúng",INDEX('Quy tac'!$B$17:$B$22,2),INDEX('Quy tac'!$B$17:$B$22,1)),IF(L13="Sai",INDEX('Quy tac'!$B$17:$B$22,1),IF(I13&gt;=H13,INDEX('Quy tac'!$B$17:$B$22,MIN(MATCH(H13,'Quy tac'!$B$17:$B$22,0)+1,6)),H13)))</f>
        <v>3</v>
      </c>
      <c r="P13" s="15" t="n">
        <f aca="false">B13+O13</f>
        <v>5</v>
      </c>
      <c r="Q13" s="18" t="str">
        <f aca="false">IF(H13="—",IF(L13="Đúng","Lần đầu đúng → 3 ngày","Lần đầu sai → 1 ngày"),IF(L13="Sai","Sai → về 1 ngày",IF(I13&gt;=H13,"Đúng, đến hạn → lên 1 bậc","Đúng nhưng ôn sớm → giữ bậc")))</f>
        <v>Đúng, đến hạn → lên 1 bậc</v>
      </c>
    </row>
    <row r="14" customFormat="false" ht="15" hidden="false" customHeight="false" outlineLevel="0" collapsed="false">
      <c r="A14" s="14" t="n">
        <v>2</v>
      </c>
      <c r="B14" s="15" t="n">
        <v>2</v>
      </c>
      <c r="C14" s="14" t="n">
        <v>3</v>
      </c>
      <c r="D14" s="14" t="s">
        <v>65</v>
      </c>
      <c r="E14" s="14" t="s">
        <v>66</v>
      </c>
      <c r="F14" s="16" t="s">
        <v>67</v>
      </c>
      <c r="G14" s="17" t="n">
        <f aca="false">IF(F14="—","—",(LEN(F14)-LEN(SUBSTITUTE(F14,"S",""))+1)/(LEN(F14)+2))</f>
        <v>0.666666666666667</v>
      </c>
      <c r="H14" s="16" t="n">
        <v>1</v>
      </c>
      <c r="I14" s="16" t="n">
        <v>1</v>
      </c>
      <c r="J14" s="17" t="n">
        <f aca="false">IF(H14="—","—",'Quy tac'!$B$5^(I14/H14))</f>
        <v>0.9</v>
      </c>
      <c r="K14" s="14" t="str">
        <f aca="false">IF(H14="—","Câu mới",IF(I14&gt;=H14,"Có","Chưa"))</f>
        <v>Có</v>
      </c>
      <c r="L14" s="16" t="s">
        <v>55</v>
      </c>
      <c r="M14" s="14" t="str">
        <f aca="false">RIGHT(IF(F14="—","",F14)&amp;IF(L14="Đúng","Đ","S"),'Quy tac'!$B$7)</f>
        <v>SĐ</v>
      </c>
      <c r="N14" s="17" t="n">
        <f aca="false">(LEN(M14)-LEN(SUBSTITUTE(M14,"S",""))+1)/(LEN(M14)+2)</f>
        <v>0.5</v>
      </c>
      <c r="O14" s="14" t="n">
        <f aca="false">IF(H14="—",IF(L14="Đúng",INDEX('Quy tac'!$B$17:$B$22,2),INDEX('Quy tac'!$B$17:$B$22,1)),IF(L14="Sai",INDEX('Quy tac'!$B$17:$B$22,1),IF(I14&gt;=H14,INDEX('Quy tac'!$B$17:$B$22,MIN(MATCH(H14,'Quy tac'!$B$17:$B$22,0)+1,6)),H14)))</f>
        <v>3</v>
      </c>
      <c r="P14" s="15" t="n">
        <f aca="false">B14+O14</f>
        <v>5</v>
      </c>
      <c r="Q14" s="18" t="str">
        <f aca="false">IF(H14="—",IF(L14="Đúng","Lần đầu đúng → 3 ngày","Lần đầu sai → 1 ngày"),IF(L14="Sai","Sai → về 1 ngày",IF(I14&gt;=H14,"Đúng, đến hạn → lên 1 bậc","Đúng nhưng ôn sớm → giữ bậc")))</f>
        <v>Đúng, đến hạn → lên 1 bậc</v>
      </c>
    </row>
    <row r="15" customFormat="false" ht="15" hidden="false" customHeight="false" outlineLevel="0" collapsed="false">
      <c r="A15" s="9" t="n">
        <v>2</v>
      </c>
      <c r="B15" s="10" t="n">
        <v>2</v>
      </c>
      <c r="C15" s="9" t="n">
        <v>4</v>
      </c>
      <c r="D15" s="9" t="s">
        <v>68</v>
      </c>
      <c r="E15" s="9" t="s">
        <v>53</v>
      </c>
      <c r="F15" s="11" t="s">
        <v>54</v>
      </c>
      <c r="G15" s="12" t="str">
        <f aca="false">IF(F15="—","—",(LEN(F15)-LEN(SUBSTITUTE(F15,"S",""))+1)/(LEN(F15)+2))</f>
        <v>—</v>
      </c>
      <c r="H15" s="11" t="s">
        <v>54</v>
      </c>
      <c r="I15" s="11" t="s">
        <v>54</v>
      </c>
      <c r="J15" s="12" t="str">
        <f aca="false">IF(H15="—","—",'Quy tac'!$B$5^(I15/H15))</f>
        <v>—</v>
      </c>
      <c r="K15" s="9" t="str">
        <f aca="false">IF(H15="—","Câu mới",IF(I15&gt;=H15,"Có","Chưa"))</f>
        <v>Câu mới</v>
      </c>
      <c r="L15" s="11" t="s">
        <v>55</v>
      </c>
      <c r="M15" s="9" t="str">
        <f aca="false">RIGHT(IF(F15="—","",F15)&amp;IF(L15="Đúng","Đ","S"),'Quy tac'!$B$7)</f>
        <v>Đ</v>
      </c>
      <c r="N15" s="12" t="n">
        <f aca="false">(LEN(M15)-LEN(SUBSTITUTE(M15,"S",""))+1)/(LEN(M15)+2)</f>
        <v>0.333333333333333</v>
      </c>
      <c r="O15" s="9" t="n">
        <f aca="false">IF(H15="—",IF(L15="Đúng",INDEX('Quy tac'!$B$17:$B$22,2),INDEX('Quy tac'!$B$17:$B$22,1)),IF(L15="Sai",INDEX('Quy tac'!$B$17:$B$22,1),IF(I15&gt;=H15,INDEX('Quy tac'!$B$17:$B$22,MIN(MATCH(H15,'Quy tac'!$B$17:$B$22,0)+1,6)),H15)))</f>
        <v>3</v>
      </c>
      <c r="P15" s="10" t="n">
        <f aca="false">B15+O15</f>
        <v>5</v>
      </c>
      <c r="Q15" s="13" t="str">
        <f aca="false">IF(H15="—",IF(L15="Đúng","Lần đầu đúng → 3 ngày","Lần đầu sai → 1 ngày"),IF(L15="Sai","Sai → về 1 ngày",IF(I15&gt;=H15,"Đúng, đến hạn → lên 1 bậc","Đúng nhưng ôn sớm → giữ bậc")))</f>
        <v>Lần đầu đúng → 3 ngày</v>
      </c>
    </row>
    <row r="16" customFormat="false" ht="15" hidden="false" customHeight="false" outlineLevel="0" collapsed="false">
      <c r="A16" s="9" t="n">
        <v>2</v>
      </c>
      <c r="B16" s="10" t="n">
        <v>2</v>
      </c>
      <c r="C16" s="9" t="n">
        <v>5</v>
      </c>
      <c r="D16" s="9" t="s">
        <v>69</v>
      </c>
      <c r="E16" s="9" t="s">
        <v>53</v>
      </c>
      <c r="F16" s="11" t="s">
        <v>54</v>
      </c>
      <c r="G16" s="12" t="str">
        <f aca="false">IF(F16="—","—",(LEN(F16)-LEN(SUBSTITUTE(F16,"S",""))+1)/(LEN(F16)+2))</f>
        <v>—</v>
      </c>
      <c r="H16" s="11" t="s">
        <v>54</v>
      </c>
      <c r="I16" s="11" t="s">
        <v>54</v>
      </c>
      <c r="J16" s="12" t="str">
        <f aca="false">IF(H16="—","—",'Quy tac'!$B$5^(I16/H16))</f>
        <v>—</v>
      </c>
      <c r="K16" s="9" t="str">
        <f aca="false">IF(H16="—","Câu mới",IF(I16&gt;=H16,"Có","Chưa"))</f>
        <v>Câu mới</v>
      </c>
      <c r="L16" s="11" t="s">
        <v>55</v>
      </c>
      <c r="M16" s="9" t="str">
        <f aca="false">RIGHT(IF(F16="—","",F16)&amp;IF(L16="Đúng","Đ","S"),'Quy tac'!$B$7)</f>
        <v>Đ</v>
      </c>
      <c r="N16" s="12" t="n">
        <f aca="false">(LEN(M16)-LEN(SUBSTITUTE(M16,"S",""))+1)/(LEN(M16)+2)</f>
        <v>0.333333333333333</v>
      </c>
      <c r="O16" s="9" t="n">
        <f aca="false">IF(H16="—",IF(L16="Đúng",INDEX('Quy tac'!$B$17:$B$22,2),INDEX('Quy tac'!$B$17:$B$22,1)),IF(L16="Sai",INDEX('Quy tac'!$B$17:$B$22,1),IF(I16&gt;=H16,INDEX('Quy tac'!$B$17:$B$22,MIN(MATCH(H16,'Quy tac'!$B$17:$B$22,0)+1,6)),H16)))</f>
        <v>3</v>
      </c>
      <c r="P16" s="10" t="n">
        <f aca="false">B16+O16</f>
        <v>5</v>
      </c>
      <c r="Q16" s="13" t="str">
        <f aca="false">IF(H16="—",IF(L16="Đúng","Lần đầu đúng → 3 ngày","Lần đầu sai → 1 ngày"),IF(L16="Sai","Sai → về 1 ngày",IF(I16&gt;=H16,"Đúng, đến hạn → lên 1 bậc","Đúng nhưng ôn sớm → giữ bậc")))</f>
        <v>Lần đầu đúng → 3 ngày</v>
      </c>
    </row>
    <row r="17" customFormat="false" ht="15" hidden="false" customHeight="false" outlineLevel="0" collapsed="false">
      <c r="A17" s="9" t="n">
        <v>2</v>
      </c>
      <c r="B17" s="10" t="n">
        <v>2</v>
      </c>
      <c r="C17" s="9" t="n">
        <v>6</v>
      </c>
      <c r="D17" s="9" t="s">
        <v>70</v>
      </c>
      <c r="E17" s="9" t="s">
        <v>53</v>
      </c>
      <c r="F17" s="11" t="s">
        <v>54</v>
      </c>
      <c r="G17" s="12" t="str">
        <f aca="false">IF(F17="—","—",(LEN(F17)-LEN(SUBSTITUTE(F17,"S",""))+1)/(LEN(F17)+2))</f>
        <v>—</v>
      </c>
      <c r="H17" s="11" t="s">
        <v>54</v>
      </c>
      <c r="I17" s="11" t="s">
        <v>54</v>
      </c>
      <c r="J17" s="12" t="str">
        <f aca="false">IF(H17="—","—",'Quy tac'!$B$5^(I17/H17))</f>
        <v>—</v>
      </c>
      <c r="K17" s="9" t="str">
        <f aca="false">IF(H17="—","Câu mới",IF(I17&gt;=H17,"Có","Chưa"))</f>
        <v>Câu mới</v>
      </c>
      <c r="L17" s="11" t="s">
        <v>55</v>
      </c>
      <c r="M17" s="9" t="str">
        <f aca="false">RIGHT(IF(F17="—","",F17)&amp;IF(L17="Đúng","Đ","S"),'Quy tac'!$B$7)</f>
        <v>Đ</v>
      </c>
      <c r="N17" s="12" t="n">
        <f aca="false">(LEN(M17)-LEN(SUBSTITUTE(M17,"S",""))+1)/(LEN(M17)+2)</f>
        <v>0.333333333333333</v>
      </c>
      <c r="O17" s="9" t="n">
        <f aca="false">IF(H17="—",IF(L17="Đúng",INDEX('Quy tac'!$B$17:$B$22,2),INDEX('Quy tac'!$B$17:$B$22,1)),IF(L17="Sai",INDEX('Quy tac'!$B$17:$B$22,1),IF(I17&gt;=H17,INDEX('Quy tac'!$B$17:$B$22,MIN(MATCH(H17,'Quy tac'!$B$17:$B$22,0)+1,6)),H17)))</f>
        <v>3</v>
      </c>
      <c r="P17" s="10" t="n">
        <f aca="false">B17+O17</f>
        <v>5</v>
      </c>
      <c r="Q17" s="13" t="str">
        <f aca="false">IF(H17="—",IF(L17="Đúng","Lần đầu đúng → 3 ngày","Lần đầu sai → 1 ngày"),IF(L17="Sai","Sai → về 1 ngày",IF(I17&gt;=H17,"Đúng, đến hạn → lên 1 bậc","Đúng nhưng ôn sớm → giữ bậc")))</f>
        <v>Lần đầu đúng → 3 ngày</v>
      </c>
    </row>
    <row r="18" customFormat="false" ht="15" hidden="false" customHeight="false" outlineLevel="0" collapsed="false">
      <c r="A18" s="9" t="n">
        <v>2</v>
      </c>
      <c r="B18" s="10" t="n">
        <v>2</v>
      </c>
      <c r="C18" s="9" t="n">
        <v>7</v>
      </c>
      <c r="D18" s="9" t="s">
        <v>71</v>
      </c>
      <c r="E18" s="9" t="s">
        <v>53</v>
      </c>
      <c r="F18" s="11" t="s">
        <v>54</v>
      </c>
      <c r="G18" s="12" t="str">
        <f aca="false">IF(F18="—","—",(LEN(F18)-LEN(SUBSTITUTE(F18,"S",""))+1)/(LEN(F18)+2))</f>
        <v>—</v>
      </c>
      <c r="H18" s="11" t="s">
        <v>54</v>
      </c>
      <c r="I18" s="11" t="s">
        <v>54</v>
      </c>
      <c r="J18" s="12" t="str">
        <f aca="false">IF(H18="—","—",'Quy tac'!$B$5^(I18/H18))</f>
        <v>—</v>
      </c>
      <c r="K18" s="9" t="str">
        <f aca="false">IF(H18="—","Câu mới",IF(I18&gt;=H18,"Có","Chưa"))</f>
        <v>Câu mới</v>
      </c>
      <c r="L18" s="11" t="s">
        <v>58</v>
      </c>
      <c r="M18" s="9" t="str">
        <f aca="false">RIGHT(IF(F18="—","",F18)&amp;IF(L18="Đúng","Đ","S"),'Quy tac'!$B$7)</f>
        <v>S</v>
      </c>
      <c r="N18" s="12" t="n">
        <f aca="false">(LEN(M18)-LEN(SUBSTITUTE(M18,"S",""))+1)/(LEN(M18)+2)</f>
        <v>0.666666666666667</v>
      </c>
      <c r="O18" s="9" t="n">
        <f aca="false">IF(H18="—",IF(L18="Đúng",INDEX('Quy tac'!$B$17:$B$22,2),INDEX('Quy tac'!$B$17:$B$22,1)),IF(L18="Sai",INDEX('Quy tac'!$B$17:$B$22,1),IF(I18&gt;=H18,INDEX('Quy tac'!$B$17:$B$22,MIN(MATCH(H18,'Quy tac'!$B$17:$B$22,0)+1,6)),H18)))</f>
        <v>1</v>
      </c>
      <c r="P18" s="10" t="n">
        <f aca="false">B18+O18</f>
        <v>3</v>
      </c>
      <c r="Q18" s="13" t="str">
        <f aca="false">IF(H18="—",IF(L18="Đúng","Lần đầu đúng → 3 ngày","Lần đầu sai → 1 ngày"),IF(L18="Sai","Sai → về 1 ngày",IF(I18&gt;=H18,"Đúng, đến hạn → lên 1 bậc","Đúng nhưng ôn sớm → giữ bậc")))</f>
        <v>Lần đầu sai → 1 ngày</v>
      </c>
    </row>
    <row r="19" customFormat="false" ht="15" hidden="false" customHeight="false" outlineLevel="0" collapsed="false">
      <c r="A19" s="9" t="n">
        <v>2</v>
      </c>
      <c r="B19" s="10" t="n">
        <v>2</v>
      </c>
      <c r="C19" s="9" t="n">
        <v>8</v>
      </c>
      <c r="D19" s="9" t="s">
        <v>72</v>
      </c>
      <c r="E19" s="9" t="s">
        <v>53</v>
      </c>
      <c r="F19" s="11" t="s">
        <v>54</v>
      </c>
      <c r="G19" s="12" t="str">
        <f aca="false">IF(F19="—","—",(LEN(F19)-LEN(SUBSTITUTE(F19,"S",""))+1)/(LEN(F19)+2))</f>
        <v>—</v>
      </c>
      <c r="H19" s="11" t="s">
        <v>54</v>
      </c>
      <c r="I19" s="11" t="s">
        <v>54</v>
      </c>
      <c r="J19" s="12" t="str">
        <f aca="false">IF(H19="—","—",'Quy tac'!$B$5^(I19/H19))</f>
        <v>—</v>
      </c>
      <c r="K19" s="9" t="str">
        <f aca="false">IF(H19="—","Câu mới",IF(I19&gt;=H19,"Có","Chưa"))</f>
        <v>Câu mới</v>
      </c>
      <c r="L19" s="11" t="s">
        <v>58</v>
      </c>
      <c r="M19" s="9" t="str">
        <f aca="false">RIGHT(IF(F19="—","",F19)&amp;IF(L19="Đúng","Đ","S"),'Quy tac'!$B$7)</f>
        <v>S</v>
      </c>
      <c r="N19" s="12" t="n">
        <f aca="false">(LEN(M19)-LEN(SUBSTITUTE(M19,"S",""))+1)/(LEN(M19)+2)</f>
        <v>0.666666666666667</v>
      </c>
      <c r="O19" s="9" t="n">
        <f aca="false">IF(H19="—",IF(L19="Đúng",INDEX('Quy tac'!$B$17:$B$22,2),INDEX('Quy tac'!$B$17:$B$22,1)),IF(L19="Sai",INDEX('Quy tac'!$B$17:$B$22,1),IF(I19&gt;=H19,INDEX('Quy tac'!$B$17:$B$22,MIN(MATCH(H19,'Quy tac'!$B$17:$B$22,0)+1,6)),H19)))</f>
        <v>1</v>
      </c>
      <c r="P19" s="10" t="n">
        <f aca="false">B19+O19</f>
        <v>3</v>
      </c>
      <c r="Q19" s="13" t="str">
        <f aca="false">IF(H19="—",IF(L19="Đúng","Lần đầu đúng → 3 ngày","Lần đầu sai → 1 ngày"),IF(L19="Sai","Sai → về 1 ngày",IF(I19&gt;=H19,"Đúng, đến hạn → lên 1 bậc","Đúng nhưng ôn sớm → giữ bậc")))</f>
        <v>Lần đầu sai → 1 ngày</v>
      </c>
    </row>
    <row r="20" customFormat="false" ht="15" hidden="false" customHeight="false" outlineLevel="0" collapsed="false">
      <c r="A20" s="9" t="n">
        <v>2</v>
      </c>
      <c r="B20" s="10" t="n">
        <v>2</v>
      </c>
      <c r="C20" s="9" t="n">
        <v>9</v>
      </c>
      <c r="D20" s="9" t="s">
        <v>73</v>
      </c>
      <c r="E20" s="9" t="s">
        <v>53</v>
      </c>
      <c r="F20" s="11" t="s">
        <v>54</v>
      </c>
      <c r="G20" s="12" t="str">
        <f aca="false">IF(F20="—","—",(LEN(F20)-LEN(SUBSTITUTE(F20,"S",""))+1)/(LEN(F20)+2))</f>
        <v>—</v>
      </c>
      <c r="H20" s="11" t="s">
        <v>54</v>
      </c>
      <c r="I20" s="11" t="s">
        <v>54</v>
      </c>
      <c r="J20" s="12" t="str">
        <f aca="false">IF(H20="—","—",'Quy tac'!$B$5^(I20/H20))</f>
        <v>—</v>
      </c>
      <c r="K20" s="9" t="str">
        <f aca="false">IF(H20="—","Câu mới",IF(I20&gt;=H20,"Có","Chưa"))</f>
        <v>Câu mới</v>
      </c>
      <c r="L20" s="11" t="s">
        <v>55</v>
      </c>
      <c r="M20" s="9" t="str">
        <f aca="false">RIGHT(IF(F20="—","",F20)&amp;IF(L20="Đúng","Đ","S"),'Quy tac'!$B$7)</f>
        <v>Đ</v>
      </c>
      <c r="N20" s="12" t="n">
        <f aca="false">(LEN(M20)-LEN(SUBSTITUTE(M20,"S",""))+1)/(LEN(M20)+2)</f>
        <v>0.333333333333333</v>
      </c>
      <c r="O20" s="9" t="n">
        <f aca="false">IF(H20="—",IF(L20="Đúng",INDEX('Quy tac'!$B$17:$B$22,2),INDEX('Quy tac'!$B$17:$B$22,1)),IF(L20="Sai",INDEX('Quy tac'!$B$17:$B$22,1),IF(I20&gt;=H20,INDEX('Quy tac'!$B$17:$B$22,MIN(MATCH(H20,'Quy tac'!$B$17:$B$22,0)+1,6)),H20)))</f>
        <v>3</v>
      </c>
      <c r="P20" s="10" t="n">
        <f aca="false">B20+O20</f>
        <v>5</v>
      </c>
      <c r="Q20" s="13" t="str">
        <f aca="false">IF(H20="—",IF(L20="Đúng","Lần đầu đúng → 3 ngày","Lần đầu sai → 1 ngày"),IF(L20="Sai","Sai → về 1 ngày",IF(I20&gt;=H20,"Đúng, đến hạn → lên 1 bậc","Đúng nhưng ôn sớm → giữ bậc")))</f>
        <v>Lần đầu đúng → 3 ngày</v>
      </c>
    </row>
    <row r="21" customFormat="false" ht="15" hidden="false" customHeight="false" outlineLevel="0" collapsed="false">
      <c r="A21" s="9" t="n">
        <v>2</v>
      </c>
      <c r="B21" s="10" t="n">
        <v>2</v>
      </c>
      <c r="C21" s="9" t="n">
        <v>10</v>
      </c>
      <c r="D21" s="9" t="s">
        <v>74</v>
      </c>
      <c r="E21" s="9" t="s">
        <v>53</v>
      </c>
      <c r="F21" s="11" t="s">
        <v>54</v>
      </c>
      <c r="G21" s="12" t="str">
        <f aca="false">IF(F21="—","—",(LEN(F21)-LEN(SUBSTITUTE(F21,"S",""))+1)/(LEN(F21)+2))</f>
        <v>—</v>
      </c>
      <c r="H21" s="11" t="s">
        <v>54</v>
      </c>
      <c r="I21" s="11" t="s">
        <v>54</v>
      </c>
      <c r="J21" s="12" t="str">
        <f aca="false">IF(H21="—","—",'Quy tac'!$B$5^(I21/H21))</f>
        <v>—</v>
      </c>
      <c r="K21" s="9" t="str">
        <f aca="false">IF(H21="—","Câu mới",IF(I21&gt;=H21,"Có","Chưa"))</f>
        <v>Câu mới</v>
      </c>
      <c r="L21" s="11" t="s">
        <v>58</v>
      </c>
      <c r="M21" s="9" t="str">
        <f aca="false">RIGHT(IF(F21="—","",F21)&amp;IF(L21="Đúng","Đ","S"),'Quy tac'!$B$7)</f>
        <v>S</v>
      </c>
      <c r="N21" s="12" t="n">
        <f aca="false">(LEN(M21)-LEN(SUBSTITUTE(M21,"S",""))+1)/(LEN(M21)+2)</f>
        <v>0.666666666666667</v>
      </c>
      <c r="O21" s="9" t="n">
        <f aca="false">IF(H21="—",IF(L21="Đúng",INDEX('Quy tac'!$B$17:$B$22,2),INDEX('Quy tac'!$B$17:$B$22,1)),IF(L21="Sai",INDEX('Quy tac'!$B$17:$B$22,1),IF(I21&gt;=H21,INDEX('Quy tac'!$B$17:$B$22,MIN(MATCH(H21,'Quy tac'!$B$17:$B$22,0)+1,6)),H21)))</f>
        <v>1</v>
      </c>
      <c r="P21" s="10" t="n">
        <f aca="false">B21+O21</f>
        <v>3</v>
      </c>
      <c r="Q21" s="13" t="str">
        <f aca="false">IF(H21="—",IF(L21="Đúng","Lần đầu đúng → 3 ngày","Lần đầu sai → 1 ngày"),IF(L21="Sai","Sai → về 1 ngày",IF(I21&gt;=H21,"Đúng, đến hạn → lên 1 bậc","Đúng nhưng ôn sớm → giữ bậc")))</f>
        <v>Lần đầu sai → 1 ngày</v>
      </c>
    </row>
    <row r="22" customFormat="false" ht="15" hidden="false" customHeight="false" outlineLevel="0" collapsed="false">
      <c r="A22" s="14" t="n">
        <v>3</v>
      </c>
      <c r="B22" s="15" t="n">
        <v>3</v>
      </c>
      <c r="C22" s="14" t="n">
        <v>1</v>
      </c>
      <c r="D22" s="14" t="s">
        <v>57</v>
      </c>
      <c r="E22" s="14" t="s">
        <v>66</v>
      </c>
      <c r="F22" s="16" t="s">
        <v>75</v>
      </c>
      <c r="G22" s="17" t="n">
        <f aca="false">IF(F22="—","—",(LEN(F22)-LEN(SUBSTITUTE(F22,"S",""))+1)/(LEN(F22)+2))</f>
        <v>0.75</v>
      </c>
      <c r="H22" s="16" t="n">
        <v>1</v>
      </c>
      <c r="I22" s="16" t="n">
        <v>1</v>
      </c>
      <c r="J22" s="17" t="n">
        <f aca="false">IF(H22="—","—",'Quy tac'!$B$5^(I22/H22))</f>
        <v>0.9</v>
      </c>
      <c r="K22" s="14" t="str">
        <f aca="false">IF(H22="—","Câu mới",IF(I22&gt;=H22,"Có","Chưa"))</f>
        <v>Có</v>
      </c>
      <c r="L22" s="16" t="s">
        <v>58</v>
      </c>
      <c r="M22" s="14" t="str">
        <f aca="false">RIGHT(IF(F22="—","",F22)&amp;IF(L22="Đúng","Đ","S"),'Quy tac'!$B$7)</f>
        <v>SSS</v>
      </c>
      <c r="N22" s="17" t="n">
        <f aca="false">(LEN(M22)-LEN(SUBSTITUTE(M22,"S",""))+1)/(LEN(M22)+2)</f>
        <v>0.8</v>
      </c>
      <c r="O22" s="14" t="n">
        <f aca="false">IF(H22="—",IF(L22="Đúng",INDEX('Quy tac'!$B$17:$B$22,2),INDEX('Quy tac'!$B$17:$B$22,1)),IF(L22="Sai",INDEX('Quy tac'!$B$17:$B$22,1),IF(I22&gt;=H22,INDEX('Quy tac'!$B$17:$B$22,MIN(MATCH(H22,'Quy tac'!$B$17:$B$22,0)+1,6)),H22)))</f>
        <v>1</v>
      </c>
      <c r="P22" s="15" t="n">
        <f aca="false">B22+O22</f>
        <v>4</v>
      </c>
      <c r="Q22" s="18" t="str">
        <f aca="false">IF(H22="—",IF(L22="Đúng","Lần đầu đúng → 3 ngày","Lần đầu sai → 1 ngày"),IF(L22="Sai","Sai → về 1 ngày",IF(I22&gt;=H22,"Đúng, đến hạn → lên 1 bậc","Đúng nhưng ôn sớm → giữ bậc")))</f>
        <v>Sai → về 1 ngày</v>
      </c>
    </row>
    <row r="23" customFormat="false" ht="15" hidden="false" customHeight="false" outlineLevel="0" collapsed="false">
      <c r="A23" s="14" t="n">
        <v>3</v>
      </c>
      <c r="B23" s="15" t="n">
        <v>3</v>
      </c>
      <c r="C23" s="14" t="n">
        <v>2</v>
      </c>
      <c r="D23" s="14" t="s">
        <v>71</v>
      </c>
      <c r="E23" s="14" t="s">
        <v>66</v>
      </c>
      <c r="F23" s="16" t="s">
        <v>67</v>
      </c>
      <c r="G23" s="17" t="n">
        <f aca="false">IF(F23="—","—",(LEN(F23)-LEN(SUBSTITUTE(F23,"S",""))+1)/(LEN(F23)+2))</f>
        <v>0.666666666666667</v>
      </c>
      <c r="H23" s="16" t="n">
        <v>1</v>
      </c>
      <c r="I23" s="16" t="n">
        <v>1</v>
      </c>
      <c r="J23" s="17" t="n">
        <f aca="false">IF(H23="—","—",'Quy tac'!$B$5^(I23/H23))</f>
        <v>0.9</v>
      </c>
      <c r="K23" s="14" t="str">
        <f aca="false">IF(H23="—","Câu mới",IF(I23&gt;=H23,"Có","Chưa"))</f>
        <v>Có</v>
      </c>
      <c r="L23" s="16" t="s">
        <v>58</v>
      </c>
      <c r="M23" s="14" t="str">
        <f aca="false">RIGHT(IF(F23="—","",F23)&amp;IF(L23="Đúng","Đ","S"),'Quy tac'!$B$7)</f>
        <v>SS</v>
      </c>
      <c r="N23" s="17" t="n">
        <f aca="false">(LEN(M23)-LEN(SUBSTITUTE(M23,"S",""))+1)/(LEN(M23)+2)</f>
        <v>0.75</v>
      </c>
      <c r="O23" s="14" t="n">
        <f aca="false">IF(H23="—",IF(L23="Đúng",INDEX('Quy tac'!$B$17:$B$22,2),INDEX('Quy tac'!$B$17:$B$22,1)),IF(L23="Sai",INDEX('Quy tac'!$B$17:$B$22,1),IF(I23&gt;=H23,INDEX('Quy tac'!$B$17:$B$22,MIN(MATCH(H23,'Quy tac'!$B$17:$B$22,0)+1,6)),H23)))</f>
        <v>1</v>
      </c>
      <c r="P23" s="15" t="n">
        <f aca="false">B23+O23</f>
        <v>4</v>
      </c>
      <c r="Q23" s="18" t="str">
        <f aca="false">IF(H23="—",IF(L23="Đúng","Lần đầu đúng → 3 ngày","Lần đầu sai → 1 ngày"),IF(L23="Sai","Sai → về 1 ngày",IF(I23&gt;=H23,"Đúng, đến hạn → lên 1 bậc","Đúng nhưng ôn sớm → giữ bậc")))</f>
        <v>Sai → về 1 ngày</v>
      </c>
    </row>
    <row r="24" customFormat="false" ht="15" hidden="false" customHeight="false" outlineLevel="0" collapsed="false">
      <c r="A24" s="14" t="n">
        <v>3</v>
      </c>
      <c r="B24" s="15" t="n">
        <v>3</v>
      </c>
      <c r="C24" s="14" t="n">
        <v>3</v>
      </c>
      <c r="D24" s="14" t="s">
        <v>72</v>
      </c>
      <c r="E24" s="14" t="s">
        <v>66</v>
      </c>
      <c r="F24" s="16" t="s">
        <v>67</v>
      </c>
      <c r="G24" s="17" t="n">
        <f aca="false">IF(F24="—","—",(LEN(F24)-LEN(SUBSTITUTE(F24,"S",""))+1)/(LEN(F24)+2))</f>
        <v>0.666666666666667</v>
      </c>
      <c r="H24" s="16" t="n">
        <v>1</v>
      </c>
      <c r="I24" s="16" t="n">
        <v>1</v>
      </c>
      <c r="J24" s="17" t="n">
        <f aca="false">IF(H24="—","—",'Quy tac'!$B$5^(I24/H24))</f>
        <v>0.9</v>
      </c>
      <c r="K24" s="14" t="str">
        <f aca="false">IF(H24="—","Câu mới",IF(I24&gt;=H24,"Có","Chưa"))</f>
        <v>Có</v>
      </c>
      <c r="L24" s="16" t="s">
        <v>55</v>
      </c>
      <c r="M24" s="14" t="str">
        <f aca="false">RIGHT(IF(F24="—","",F24)&amp;IF(L24="Đúng","Đ","S"),'Quy tac'!$B$7)</f>
        <v>SĐ</v>
      </c>
      <c r="N24" s="17" t="n">
        <f aca="false">(LEN(M24)-LEN(SUBSTITUTE(M24,"S",""))+1)/(LEN(M24)+2)</f>
        <v>0.5</v>
      </c>
      <c r="O24" s="14" t="n">
        <f aca="false">IF(H24="—",IF(L24="Đúng",INDEX('Quy tac'!$B$17:$B$22,2),INDEX('Quy tac'!$B$17:$B$22,1)),IF(L24="Sai",INDEX('Quy tac'!$B$17:$B$22,1),IF(I24&gt;=H24,INDEX('Quy tac'!$B$17:$B$22,MIN(MATCH(H24,'Quy tac'!$B$17:$B$22,0)+1,6)),H24)))</f>
        <v>3</v>
      </c>
      <c r="P24" s="15" t="n">
        <f aca="false">B24+O24</f>
        <v>6</v>
      </c>
      <c r="Q24" s="18" t="str">
        <f aca="false">IF(H24="—",IF(L24="Đúng","Lần đầu đúng → 3 ngày","Lần đầu sai → 1 ngày"),IF(L24="Sai","Sai → về 1 ngày",IF(I24&gt;=H24,"Đúng, đến hạn → lên 1 bậc","Đúng nhưng ôn sớm → giữ bậc")))</f>
        <v>Đúng, đến hạn → lên 1 bậc</v>
      </c>
    </row>
    <row r="25" customFormat="false" ht="15" hidden="false" customHeight="false" outlineLevel="0" collapsed="false">
      <c r="A25" s="14" t="n">
        <v>3</v>
      </c>
      <c r="B25" s="15" t="n">
        <v>3</v>
      </c>
      <c r="C25" s="14" t="n">
        <v>4</v>
      </c>
      <c r="D25" s="14" t="s">
        <v>74</v>
      </c>
      <c r="E25" s="14" t="s">
        <v>66</v>
      </c>
      <c r="F25" s="16" t="s">
        <v>67</v>
      </c>
      <c r="G25" s="17" t="n">
        <f aca="false">IF(F25="—","—",(LEN(F25)-LEN(SUBSTITUTE(F25,"S",""))+1)/(LEN(F25)+2))</f>
        <v>0.666666666666667</v>
      </c>
      <c r="H25" s="16" t="n">
        <v>1</v>
      </c>
      <c r="I25" s="16" t="n">
        <v>1</v>
      </c>
      <c r="J25" s="17" t="n">
        <f aca="false">IF(H25="—","—",'Quy tac'!$B$5^(I25/H25))</f>
        <v>0.9</v>
      </c>
      <c r="K25" s="14" t="str">
        <f aca="false">IF(H25="—","Câu mới",IF(I25&gt;=H25,"Có","Chưa"))</f>
        <v>Có</v>
      </c>
      <c r="L25" s="16" t="s">
        <v>58</v>
      </c>
      <c r="M25" s="14" t="str">
        <f aca="false">RIGHT(IF(F25="—","",F25)&amp;IF(L25="Đúng","Đ","S"),'Quy tac'!$B$7)</f>
        <v>SS</v>
      </c>
      <c r="N25" s="17" t="n">
        <f aca="false">(LEN(M25)-LEN(SUBSTITUTE(M25,"S",""))+1)/(LEN(M25)+2)</f>
        <v>0.75</v>
      </c>
      <c r="O25" s="14" t="n">
        <f aca="false">IF(H25="—",IF(L25="Đúng",INDEX('Quy tac'!$B$17:$B$22,2),INDEX('Quy tac'!$B$17:$B$22,1)),IF(L25="Sai",INDEX('Quy tac'!$B$17:$B$22,1),IF(I25&gt;=H25,INDEX('Quy tac'!$B$17:$B$22,MIN(MATCH(H25,'Quy tac'!$B$17:$B$22,0)+1,6)),H25)))</f>
        <v>1</v>
      </c>
      <c r="P25" s="15" t="n">
        <f aca="false">B25+O25</f>
        <v>4</v>
      </c>
      <c r="Q25" s="18" t="str">
        <f aca="false">IF(H25="—",IF(L25="Đúng","Lần đầu đúng → 3 ngày","Lần đầu sai → 1 ngày"),IF(L25="Sai","Sai → về 1 ngày",IF(I25&gt;=H25,"Đúng, đến hạn → lên 1 bậc","Đúng nhưng ôn sớm → giữ bậc")))</f>
        <v>Sai → về 1 ngày</v>
      </c>
    </row>
    <row r="26" customFormat="false" ht="15" hidden="false" customHeight="false" outlineLevel="0" collapsed="false">
      <c r="A26" s="14" t="n">
        <v>3</v>
      </c>
      <c r="B26" s="15" t="n">
        <v>3</v>
      </c>
      <c r="C26" s="14" t="n">
        <v>5</v>
      </c>
      <c r="D26" s="14" t="s">
        <v>60</v>
      </c>
      <c r="E26" s="14" t="s">
        <v>66</v>
      </c>
      <c r="F26" s="16" t="s">
        <v>76</v>
      </c>
      <c r="G26" s="17" t="n">
        <f aca="false">IF(F26="—","—",(LEN(F26)-LEN(SUBSTITUTE(F26,"S",""))+1)/(LEN(F26)+2))</f>
        <v>0.5</v>
      </c>
      <c r="H26" s="16" t="n">
        <v>3</v>
      </c>
      <c r="I26" s="16" t="n">
        <v>1</v>
      </c>
      <c r="J26" s="17" t="n">
        <f aca="false">IF(H26="—","—",'Quy tac'!$B$5^(I26/H26))</f>
        <v>0.96548938460563</v>
      </c>
      <c r="K26" s="14" t="str">
        <f aca="false">IF(H26="—","Câu mới",IF(I26&gt;=H26,"Có","Chưa"))</f>
        <v>Chưa</v>
      </c>
      <c r="L26" s="16" t="s">
        <v>58</v>
      </c>
      <c r="M26" s="14" t="str">
        <f aca="false">RIGHT(IF(F26="—","",F26)&amp;IF(L26="Đúng","Đ","S"),'Quy tac'!$B$7)</f>
        <v>SĐS</v>
      </c>
      <c r="N26" s="17" t="n">
        <f aca="false">(LEN(M26)-LEN(SUBSTITUTE(M26,"S",""))+1)/(LEN(M26)+2)</f>
        <v>0.6</v>
      </c>
      <c r="O26" s="14" t="n">
        <f aca="false">IF(H26="—",IF(L26="Đúng",INDEX('Quy tac'!$B$17:$B$22,2),INDEX('Quy tac'!$B$17:$B$22,1)),IF(L26="Sai",INDEX('Quy tac'!$B$17:$B$22,1),IF(I26&gt;=H26,INDEX('Quy tac'!$B$17:$B$22,MIN(MATCH(H26,'Quy tac'!$B$17:$B$22,0)+1,6)),H26)))</f>
        <v>1</v>
      </c>
      <c r="P26" s="15" t="n">
        <f aca="false">B26+O26</f>
        <v>4</v>
      </c>
      <c r="Q26" s="18" t="str">
        <f aca="false">IF(H26="—",IF(L26="Đúng","Lần đầu đúng → 3 ngày","Lần đầu sai → 1 ngày"),IF(L26="Sai","Sai → về 1 ngày",IF(I26&gt;=H26,"Đúng, đến hạn → lên 1 bậc","Đúng nhưng ôn sớm → giữ bậc")))</f>
        <v>Sai → về 1 ngày</v>
      </c>
    </row>
    <row r="27" customFormat="false" ht="15" hidden="false" customHeight="false" outlineLevel="0" collapsed="false">
      <c r="A27" s="14" t="n">
        <v>3</v>
      </c>
      <c r="B27" s="15" t="n">
        <v>3</v>
      </c>
      <c r="C27" s="14" t="n">
        <v>6</v>
      </c>
      <c r="D27" s="14" t="s">
        <v>65</v>
      </c>
      <c r="E27" s="14" t="s">
        <v>66</v>
      </c>
      <c r="F27" s="16" t="s">
        <v>76</v>
      </c>
      <c r="G27" s="17" t="n">
        <f aca="false">IF(F27="—","—",(LEN(F27)-LEN(SUBSTITUTE(F27,"S",""))+1)/(LEN(F27)+2))</f>
        <v>0.5</v>
      </c>
      <c r="H27" s="16" t="n">
        <v>3</v>
      </c>
      <c r="I27" s="16" t="n">
        <v>1</v>
      </c>
      <c r="J27" s="17" t="n">
        <f aca="false">IF(H27="—","—",'Quy tac'!$B$5^(I27/H27))</f>
        <v>0.96548938460563</v>
      </c>
      <c r="K27" s="14" t="str">
        <f aca="false">IF(H27="—","Câu mới",IF(I27&gt;=H27,"Có","Chưa"))</f>
        <v>Chưa</v>
      </c>
      <c r="L27" s="16" t="s">
        <v>55</v>
      </c>
      <c r="M27" s="14" t="str">
        <f aca="false">RIGHT(IF(F27="—","",F27)&amp;IF(L27="Đúng","Đ","S"),'Quy tac'!$B$7)</f>
        <v>SĐĐ</v>
      </c>
      <c r="N27" s="17" t="n">
        <f aca="false">(LEN(M27)-LEN(SUBSTITUTE(M27,"S",""))+1)/(LEN(M27)+2)</f>
        <v>0.4</v>
      </c>
      <c r="O27" s="14" t="n">
        <f aca="false">IF(H27="—",IF(L27="Đúng",INDEX('Quy tac'!$B$17:$B$22,2),INDEX('Quy tac'!$B$17:$B$22,1)),IF(L27="Sai",INDEX('Quy tac'!$B$17:$B$22,1),IF(I27&gt;=H27,INDEX('Quy tac'!$B$17:$B$22,MIN(MATCH(H27,'Quy tac'!$B$17:$B$22,0)+1,6)),H27)))</f>
        <v>3</v>
      </c>
      <c r="P27" s="15" t="n">
        <f aca="false">B27+O27</f>
        <v>6</v>
      </c>
      <c r="Q27" s="18" t="str">
        <f aca="false">IF(H27="—",IF(L27="Đúng","Lần đầu đúng → 3 ngày","Lần đầu sai → 1 ngày"),IF(L27="Sai","Sai → về 1 ngày",IF(I27&gt;=H27,"Đúng, đến hạn → lên 1 bậc","Đúng nhưng ôn sớm → giữ bậc")))</f>
        <v>Đúng nhưng ôn sớm → giữ bậc</v>
      </c>
    </row>
    <row r="28" customFormat="false" ht="15" hidden="false" customHeight="false" outlineLevel="0" collapsed="false">
      <c r="A28" s="9" t="n">
        <v>3</v>
      </c>
      <c r="B28" s="10" t="n">
        <v>3</v>
      </c>
      <c r="C28" s="9" t="n">
        <v>7</v>
      </c>
      <c r="D28" s="9" t="s">
        <v>77</v>
      </c>
      <c r="E28" s="9" t="s">
        <v>53</v>
      </c>
      <c r="F28" s="11" t="s">
        <v>54</v>
      </c>
      <c r="G28" s="12" t="str">
        <f aca="false">IF(F28="—","—",(LEN(F28)-LEN(SUBSTITUTE(F28,"S",""))+1)/(LEN(F28)+2))</f>
        <v>—</v>
      </c>
      <c r="H28" s="11" t="s">
        <v>54</v>
      </c>
      <c r="I28" s="11" t="s">
        <v>54</v>
      </c>
      <c r="J28" s="12" t="str">
        <f aca="false">IF(H28="—","—",'Quy tac'!$B$5^(I28/H28))</f>
        <v>—</v>
      </c>
      <c r="K28" s="9" t="str">
        <f aca="false">IF(H28="—","Câu mới",IF(I28&gt;=H28,"Có","Chưa"))</f>
        <v>Câu mới</v>
      </c>
      <c r="L28" s="11" t="s">
        <v>55</v>
      </c>
      <c r="M28" s="9" t="str">
        <f aca="false">RIGHT(IF(F28="—","",F28)&amp;IF(L28="Đúng","Đ","S"),'Quy tac'!$B$7)</f>
        <v>Đ</v>
      </c>
      <c r="N28" s="12" t="n">
        <f aca="false">(LEN(M28)-LEN(SUBSTITUTE(M28,"S",""))+1)/(LEN(M28)+2)</f>
        <v>0.333333333333333</v>
      </c>
      <c r="O28" s="9" t="n">
        <f aca="false">IF(H28="—",IF(L28="Đúng",INDEX('Quy tac'!$B$17:$B$22,2),INDEX('Quy tac'!$B$17:$B$22,1)),IF(L28="Sai",INDEX('Quy tac'!$B$17:$B$22,1),IF(I28&gt;=H28,INDEX('Quy tac'!$B$17:$B$22,MIN(MATCH(H28,'Quy tac'!$B$17:$B$22,0)+1,6)),H28)))</f>
        <v>3</v>
      </c>
      <c r="P28" s="10" t="n">
        <f aca="false">B28+O28</f>
        <v>6</v>
      </c>
      <c r="Q28" s="13" t="str">
        <f aca="false">IF(H28="—",IF(L28="Đúng","Lần đầu đúng → 3 ngày","Lần đầu sai → 1 ngày"),IF(L28="Sai","Sai → về 1 ngày",IF(I28&gt;=H28,"Đúng, đến hạn → lên 1 bậc","Đúng nhưng ôn sớm → giữ bậc")))</f>
        <v>Lần đầu đúng → 3 ngày</v>
      </c>
    </row>
    <row r="29" customFormat="false" ht="15" hidden="false" customHeight="false" outlineLevel="0" collapsed="false">
      <c r="A29" s="9" t="n">
        <v>3</v>
      </c>
      <c r="B29" s="10" t="n">
        <v>3</v>
      </c>
      <c r="C29" s="9" t="n">
        <v>8</v>
      </c>
      <c r="D29" s="9" t="s">
        <v>78</v>
      </c>
      <c r="E29" s="9" t="s">
        <v>53</v>
      </c>
      <c r="F29" s="11" t="s">
        <v>54</v>
      </c>
      <c r="G29" s="12" t="str">
        <f aca="false">IF(F29="—","—",(LEN(F29)-LEN(SUBSTITUTE(F29,"S",""))+1)/(LEN(F29)+2))</f>
        <v>—</v>
      </c>
      <c r="H29" s="11" t="s">
        <v>54</v>
      </c>
      <c r="I29" s="11" t="s">
        <v>54</v>
      </c>
      <c r="J29" s="12" t="str">
        <f aca="false">IF(H29="—","—",'Quy tac'!$B$5^(I29/H29))</f>
        <v>—</v>
      </c>
      <c r="K29" s="9" t="str">
        <f aca="false">IF(H29="—","Câu mới",IF(I29&gt;=H29,"Có","Chưa"))</f>
        <v>Câu mới</v>
      </c>
      <c r="L29" s="11" t="s">
        <v>55</v>
      </c>
      <c r="M29" s="9" t="str">
        <f aca="false">RIGHT(IF(F29="—","",F29)&amp;IF(L29="Đúng","Đ","S"),'Quy tac'!$B$7)</f>
        <v>Đ</v>
      </c>
      <c r="N29" s="12" t="n">
        <f aca="false">(LEN(M29)-LEN(SUBSTITUTE(M29,"S",""))+1)/(LEN(M29)+2)</f>
        <v>0.333333333333333</v>
      </c>
      <c r="O29" s="9" t="n">
        <f aca="false">IF(H29="—",IF(L29="Đúng",INDEX('Quy tac'!$B$17:$B$22,2),INDEX('Quy tac'!$B$17:$B$22,1)),IF(L29="Sai",INDEX('Quy tac'!$B$17:$B$22,1),IF(I29&gt;=H29,INDEX('Quy tac'!$B$17:$B$22,MIN(MATCH(H29,'Quy tac'!$B$17:$B$22,0)+1,6)),H29)))</f>
        <v>3</v>
      </c>
      <c r="P29" s="10" t="n">
        <f aca="false">B29+O29</f>
        <v>6</v>
      </c>
      <c r="Q29" s="13" t="str">
        <f aca="false">IF(H29="—",IF(L29="Đúng","Lần đầu đúng → 3 ngày","Lần đầu sai → 1 ngày"),IF(L29="Sai","Sai → về 1 ngày",IF(I29&gt;=H29,"Đúng, đến hạn → lên 1 bậc","Đúng nhưng ôn sớm → giữ bậc")))</f>
        <v>Lần đầu đúng → 3 ngày</v>
      </c>
    </row>
    <row r="30" customFormat="false" ht="15" hidden="false" customHeight="false" outlineLevel="0" collapsed="false">
      <c r="A30" s="9" t="n">
        <v>3</v>
      </c>
      <c r="B30" s="10" t="n">
        <v>3</v>
      </c>
      <c r="C30" s="9" t="n">
        <v>9</v>
      </c>
      <c r="D30" s="9" t="s">
        <v>79</v>
      </c>
      <c r="E30" s="9" t="s">
        <v>53</v>
      </c>
      <c r="F30" s="11" t="s">
        <v>54</v>
      </c>
      <c r="G30" s="12" t="str">
        <f aca="false">IF(F30="—","—",(LEN(F30)-LEN(SUBSTITUTE(F30,"S",""))+1)/(LEN(F30)+2))</f>
        <v>—</v>
      </c>
      <c r="H30" s="11" t="s">
        <v>54</v>
      </c>
      <c r="I30" s="11" t="s">
        <v>54</v>
      </c>
      <c r="J30" s="12" t="str">
        <f aca="false">IF(H30="—","—",'Quy tac'!$B$5^(I30/H30))</f>
        <v>—</v>
      </c>
      <c r="K30" s="9" t="str">
        <f aca="false">IF(H30="—","Câu mới",IF(I30&gt;=H30,"Có","Chưa"))</f>
        <v>Câu mới</v>
      </c>
      <c r="L30" s="11" t="s">
        <v>55</v>
      </c>
      <c r="M30" s="9" t="str">
        <f aca="false">RIGHT(IF(F30="—","",F30)&amp;IF(L30="Đúng","Đ","S"),'Quy tac'!$B$7)</f>
        <v>Đ</v>
      </c>
      <c r="N30" s="12" t="n">
        <f aca="false">(LEN(M30)-LEN(SUBSTITUTE(M30,"S",""))+1)/(LEN(M30)+2)</f>
        <v>0.333333333333333</v>
      </c>
      <c r="O30" s="9" t="n">
        <f aca="false">IF(H30="—",IF(L30="Đúng",INDEX('Quy tac'!$B$17:$B$22,2),INDEX('Quy tac'!$B$17:$B$22,1)),IF(L30="Sai",INDEX('Quy tac'!$B$17:$B$22,1),IF(I30&gt;=H30,INDEX('Quy tac'!$B$17:$B$22,MIN(MATCH(H30,'Quy tac'!$B$17:$B$22,0)+1,6)),H30)))</f>
        <v>3</v>
      </c>
      <c r="P30" s="10" t="n">
        <f aca="false">B30+O30</f>
        <v>6</v>
      </c>
      <c r="Q30" s="13" t="str">
        <f aca="false">IF(H30="—",IF(L30="Đúng","Lần đầu đúng → 3 ngày","Lần đầu sai → 1 ngày"),IF(L30="Sai","Sai → về 1 ngày",IF(I30&gt;=H30,"Đúng, đến hạn → lên 1 bậc","Đúng nhưng ôn sớm → giữ bậc")))</f>
        <v>Lần đầu đúng → 3 ngày</v>
      </c>
    </row>
    <row r="31" customFormat="false" ht="15" hidden="false" customHeight="false" outlineLevel="0" collapsed="false">
      <c r="A31" s="9" t="n">
        <v>3</v>
      </c>
      <c r="B31" s="10" t="n">
        <v>3</v>
      </c>
      <c r="C31" s="9" t="n">
        <v>10</v>
      </c>
      <c r="D31" s="9" t="s">
        <v>80</v>
      </c>
      <c r="E31" s="9" t="s">
        <v>53</v>
      </c>
      <c r="F31" s="11" t="s">
        <v>54</v>
      </c>
      <c r="G31" s="12" t="str">
        <f aca="false">IF(F31="—","—",(LEN(F31)-LEN(SUBSTITUTE(F31,"S",""))+1)/(LEN(F31)+2))</f>
        <v>—</v>
      </c>
      <c r="H31" s="11" t="s">
        <v>54</v>
      </c>
      <c r="I31" s="11" t="s">
        <v>54</v>
      </c>
      <c r="J31" s="12" t="str">
        <f aca="false">IF(H31="—","—",'Quy tac'!$B$5^(I31/H31))</f>
        <v>—</v>
      </c>
      <c r="K31" s="9" t="str">
        <f aca="false">IF(H31="—","Câu mới",IF(I31&gt;=H31,"Có","Chưa"))</f>
        <v>Câu mới</v>
      </c>
      <c r="L31" s="11" t="s">
        <v>58</v>
      </c>
      <c r="M31" s="9" t="str">
        <f aca="false">RIGHT(IF(F31="—","",F31)&amp;IF(L31="Đúng","Đ","S"),'Quy tac'!$B$7)</f>
        <v>S</v>
      </c>
      <c r="N31" s="12" t="n">
        <f aca="false">(LEN(M31)-LEN(SUBSTITUTE(M31,"S",""))+1)/(LEN(M31)+2)</f>
        <v>0.666666666666667</v>
      </c>
      <c r="O31" s="9" t="n">
        <f aca="false">IF(H31="—",IF(L31="Đúng",INDEX('Quy tac'!$B$17:$B$22,2),INDEX('Quy tac'!$B$17:$B$22,1)),IF(L31="Sai",INDEX('Quy tac'!$B$17:$B$22,1),IF(I31&gt;=H31,INDEX('Quy tac'!$B$17:$B$22,MIN(MATCH(H31,'Quy tac'!$B$17:$B$22,0)+1,6)),H31)))</f>
        <v>1</v>
      </c>
      <c r="P31" s="10" t="n">
        <f aca="false">B31+O31</f>
        <v>4</v>
      </c>
      <c r="Q31" s="13" t="str">
        <f aca="false">IF(H31="—",IF(L31="Đúng","Lần đầu đúng → 3 ngày","Lần đầu sai → 1 ngày"),IF(L31="Sai","Sai → về 1 ngày",IF(I31&gt;=H31,"Đúng, đến hạn → lên 1 bậc","Đúng nhưng ôn sớm → giữ bậc")))</f>
        <v>Lần đầu sai → 1 ngày</v>
      </c>
    </row>
    <row r="32" customFormat="false" ht="15" hidden="false" customHeight="false" outlineLevel="0" collapsed="false">
      <c r="A32" s="14" t="n">
        <v>4</v>
      </c>
      <c r="B32" s="15" t="n">
        <v>4</v>
      </c>
      <c r="C32" s="14" t="n">
        <v>1</v>
      </c>
      <c r="D32" s="14" t="s">
        <v>57</v>
      </c>
      <c r="E32" s="14" t="s">
        <v>66</v>
      </c>
      <c r="F32" s="16" t="s">
        <v>81</v>
      </c>
      <c r="G32" s="17" t="n">
        <f aca="false">IF(F32="—","—",(LEN(F32)-LEN(SUBSTITUTE(F32,"S",""))+1)/(LEN(F32)+2))</f>
        <v>0.8</v>
      </c>
      <c r="H32" s="16" t="n">
        <v>1</v>
      </c>
      <c r="I32" s="16" t="n">
        <v>1</v>
      </c>
      <c r="J32" s="17" t="n">
        <f aca="false">IF(H32="—","—",'Quy tac'!$B$5^(I32/H32))</f>
        <v>0.9</v>
      </c>
      <c r="K32" s="14" t="str">
        <f aca="false">IF(H32="—","Câu mới",IF(I32&gt;=H32,"Có","Chưa"))</f>
        <v>Có</v>
      </c>
      <c r="L32" s="16" t="s">
        <v>55</v>
      </c>
      <c r="M32" s="14" t="str">
        <f aca="false">RIGHT(IF(F32="—","",F32)&amp;IF(L32="Đúng","Đ","S"),'Quy tac'!$B$7)</f>
        <v>SSSĐ</v>
      </c>
      <c r="N32" s="17" t="n">
        <f aca="false">(LEN(M32)-LEN(SUBSTITUTE(M32,"S",""))+1)/(LEN(M32)+2)</f>
        <v>0.666666666666667</v>
      </c>
      <c r="O32" s="14" t="n">
        <f aca="false">IF(H32="—",IF(L32="Đúng",INDEX('Quy tac'!$B$17:$B$22,2),INDEX('Quy tac'!$B$17:$B$22,1)),IF(L32="Sai",INDEX('Quy tac'!$B$17:$B$22,1),IF(I32&gt;=H32,INDEX('Quy tac'!$B$17:$B$22,MIN(MATCH(H32,'Quy tac'!$B$17:$B$22,0)+1,6)),H32)))</f>
        <v>3</v>
      </c>
      <c r="P32" s="15" t="n">
        <f aca="false">B32+O32</f>
        <v>7</v>
      </c>
      <c r="Q32" s="18" t="str">
        <f aca="false">IF(H32="—",IF(L32="Đúng","Lần đầu đúng → 3 ngày","Lần đầu sai → 1 ngày"),IF(L32="Sai","Sai → về 1 ngày",IF(I32&gt;=H32,"Đúng, đến hạn → lên 1 bậc","Đúng nhưng ôn sớm → giữ bậc")))</f>
        <v>Đúng, đến hạn → lên 1 bậc</v>
      </c>
    </row>
    <row r="33" customFormat="false" ht="15" hidden="false" customHeight="false" outlineLevel="0" collapsed="false">
      <c r="A33" s="14" t="n">
        <v>4</v>
      </c>
      <c r="B33" s="15" t="n">
        <v>4</v>
      </c>
      <c r="C33" s="14" t="n">
        <v>2</v>
      </c>
      <c r="D33" s="14" t="s">
        <v>71</v>
      </c>
      <c r="E33" s="14" t="s">
        <v>66</v>
      </c>
      <c r="F33" s="16" t="s">
        <v>75</v>
      </c>
      <c r="G33" s="17" t="n">
        <f aca="false">IF(F33="—","—",(LEN(F33)-LEN(SUBSTITUTE(F33,"S",""))+1)/(LEN(F33)+2))</f>
        <v>0.75</v>
      </c>
      <c r="H33" s="16" t="n">
        <v>1</v>
      </c>
      <c r="I33" s="16" t="n">
        <v>1</v>
      </c>
      <c r="J33" s="17" t="n">
        <f aca="false">IF(H33="—","—",'Quy tac'!$B$5^(I33/H33))</f>
        <v>0.9</v>
      </c>
      <c r="K33" s="14" t="str">
        <f aca="false">IF(H33="—","Câu mới",IF(I33&gt;=H33,"Có","Chưa"))</f>
        <v>Có</v>
      </c>
      <c r="L33" s="16" t="s">
        <v>55</v>
      </c>
      <c r="M33" s="14" t="str">
        <f aca="false">RIGHT(IF(F33="—","",F33)&amp;IF(L33="Đúng","Đ","S"),'Quy tac'!$B$7)</f>
        <v>SSĐ</v>
      </c>
      <c r="N33" s="17" t="n">
        <f aca="false">(LEN(M33)-LEN(SUBSTITUTE(M33,"S",""))+1)/(LEN(M33)+2)</f>
        <v>0.6</v>
      </c>
      <c r="O33" s="14" t="n">
        <f aca="false">IF(H33="—",IF(L33="Đúng",INDEX('Quy tac'!$B$17:$B$22,2),INDEX('Quy tac'!$B$17:$B$22,1)),IF(L33="Sai",INDEX('Quy tac'!$B$17:$B$22,1),IF(I33&gt;=H33,INDEX('Quy tac'!$B$17:$B$22,MIN(MATCH(H33,'Quy tac'!$B$17:$B$22,0)+1,6)),H33)))</f>
        <v>3</v>
      </c>
      <c r="P33" s="15" t="n">
        <f aca="false">B33+O33</f>
        <v>7</v>
      </c>
      <c r="Q33" s="18" t="str">
        <f aca="false">IF(H33="—",IF(L33="Đúng","Lần đầu đúng → 3 ngày","Lần đầu sai → 1 ngày"),IF(L33="Sai","Sai → về 1 ngày",IF(I33&gt;=H33,"Đúng, đến hạn → lên 1 bậc","Đúng nhưng ôn sớm → giữ bậc")))</f>
        <v>Đúng, đến hạn → lên 1 bậc</v>
      </c>
    </row>
    <row r="34" customFormat="false" ht="15" hidden="false" customHeight="false" outlineLevel="0" collapsed="false">
      <c r="A34" s="14" t="n">
        <v>4</v>
      </c>
      <c r="B34" s="15" t="n">
        <v>4</v>
      </c>
      <c r="C34" s="14" t="n">
        <v>3</v>
      </c>
      <c r="D34" s="14" t="s">
        <v>74</v>
      </c>
      <c r="E34" s="14" t="s">
        <v>66</v>
      </c>
      <c r="F34" s="16" t="s">
        <v>75</v>
      </c>
      <c r="G34" s="17" t="n">
        <f aca="false">IF(F34="—","—",(LEN(F34)-LEN(SUBSTITUTE(F34,"S",""))+1)/(LEN(F34)+2))</f>
        <v>0.75</v>
      </c>
      <c r="H34" s="16" t="n">
        <v>1</v>
      </c>
      <c r="I34" s="16" t="n">
        <v>1</v>
      </c>
      <c r="J34" s="17" t="n">
        <f aca="false">IF(H34="—","—",'Quy tac'!$B$5^(I34/H34))</f>
        <v>0.9</v>
      </c>
      <c r="K34" s="14" t="str">
        <f aca="false">IF(H34="—","Câu mới",IF(I34&gt;=H34,"Có","Chưa"))</f>
        <v>Có</v>
      </c>
      <c r="L34" s="16" t="s">
        <v>55</v>
      </c>
      <c r="M34" s="14" t="str">
        <f aca="false">RIGHT(IF(F34="—","",F34)&amp;IF(L34="Đúng","Đ","S"),'Quy tac'!$B$7)</f>
        <v>SSĐ</v>
      </c>
      <c r="N34" s="17" t="n">
        <f aca="false">(LEN(M34)-LEN(SUBSTITUTE(M34,"S",""))+1)/(LEN(M34)+2)</f>
        <v>0.6</v>
      </c>
      <c r="O34" s="14" t="n">
        <f aca="false">IF(H34="—",IF(L34="Đúng",INDEX('Quy tac'!$B$17:$B$22,2),INDEX('Quy tac'!$B$17:$B$22,1)),IF(L34="Sai",INDEX('Quy tac'!$B$17:$B$22,1),IF(I34&gt;=H34,INDEX('Quy tac'!$B$17:$B$22,MIN(MATCH(H34,'Quy tac'!$B$17:$B$22,0)+1,6)),H34)))</f>
        <v>3</v>
      </c>
      <c r="P34" s="15" t="n">
        <f aca="false">B34+O34</f>
        <v>7</v>
      </c>
      <c r="Q34" s="18" t="str">
        <f aca="false">IF(H34="—",IF(L34="Đúng","Lần đầu đúng → 3 ngày","Lần đầu sai → 1 ngày"),IF(L34="Sai","Sai → về 1 ngày",IF(I34&gt;=H34,"Đúng, đến hạn → lên 1 bậc","Đúng nhưng ôn sớm → giữ bậc")))</f>
        <v>Đúng, đến hạn → lên 1 bậc</v>
      </c>
    </row>
    <row r="35" customFormat="false" ht="15" hidden="false" customHeight="false" outlineLevel="0" collapsed="false">
      <c r="A35" s="14" t="n">
        <v>4</v>
      </c>
      <c r="B35" s="15" t="n">
        <v>4</v>
      </c>
      <c r="C35" s="14" t="n">
        <v>4</v>
      </c>
      <c r="D35" s="14" t="s">
        <v>80</v>
      </c>
      <c r="E35" s="14" t="s">
        <v>66</v>
      </c>
      <c r="F35" s="16" t="s">
        <v>67</v>
      </c>
      <c r="G35" s="17" t="n">
        <f aca="false">IF(F35="—","—",(LEN(F35)-LEN(SUBSTITUTE(F35,"S",""))+1)/(LEN(F35)+2))</f>
        <v>0.666666666666667</v>
      </c>
      <c r="H35" s="16" t="n">
        <v>1</v>
      </c>
      <c r="I35" s="16" t="n">
        <v>1</v>
      </c>
      <c r="J35" s="17" t="n">
        <f aca="false">IF(H35="—","—",'Quy tac'!$B$5^(I35/H35))</f>
        <v>0.9</v>
      </c>
      <c r="K35" s="14" t="str">
        <f aca="false">IF(H35="—","Câu mới",IF(I35&gt;=H35,"Có","Chưa"))</f>
        <v>Có</v>
      </c>
      <c r="L35" s="16" t="s">
        <v>55</v>
      </c>
      <c r="M35" s="14" t="str">
        <f aca="false">RIGHT(IF(F35="—","",F35)&amp;IF(L35="Đúng","Đ","S"),'Quy tac'!$B$7)</f>
        <v>SĐ</v>
      </c>
      <c r="N35" s="17" t="n">
        <f aca="false">(LEN(M35)-LEN(SUBSTITUTE(M35,"S",""))+1)/(LEN(M35)+2)</f>
        <v>0.5</v>
      </c>
      <c r="O35" s="14" t="n">
        <f aca="false">IF(H35="—",IF(L35="Đúng",INDEX('Quy tac'!$B$17:$B$22,2),INDEX('Quy tac'!$B$17:$B$22,1)),IF(L35="Sai",INDEX('Quy tac'!$B$17:$B$22,1),IF(I35&gt;=H35,INDEX('Quy tac'!$B$17:$B$22,MIN(MATCH(H35,'Quy tac'!$B$17:$B$22,0)+1,6)),H35)))</f>
        <v>3</v>
      </c>
      <c r="P35" s="15" t="n">
        <f aca="false">B35+O35</f>
        <v>7</v>
      </c>
      <c r="Q35" s="18" t="str">
        <f aca="false">IF(H35="—",IF(L35="Đúng","Lần đầu đúng → 3 ngày","Lần đầu sai → 1 ngày"),IF(L35="Sai","Sai → về 1 ngày",IF(I35&gt;=H35,"Đúng, đến hạn → lên 1 bậc","Đúng nhưng ôn sớm → giữ bậc")))</f>
        <v>Đúng, đến hạn → lên 1 bậc</v>
      </c>
    </row>
    <row r="36" customFormat="false" ht="15" hidden="false" customHeight="false" outlineLevel="0" collapsed="false">
      <c r="A36" s="19" t="n">
        <v>4</v>
      </c>
      <c r="B36" s="20" t="n">
        <v>4</v>
      </c>
      <c r="C36" s="19" t="n">
        <v>5</v>
      </c>
      <c r="D36" s="19" t="s">
        <v>60</v>
      </c>
      <c r="E36" s="19" t="s">
        <v>82</v>
      </c>
      <c r="F36" s="21" t="s">
        <v>83</v>
      </c>
      <c r="G36" s="22" t="n">
        <f aca="false">IF(F36="—","—",(LEN(F36)-LEN(SUBSTITUTE(F36,"S",""))+1)/(LEN(F36)+2))</f>
        <v>0.6</v>
      </c>
      <c r="H36" s="21" t="n">
        <v>1</v>
      </c>
      <c r="I36" s="21" t="n">
        <v>1</v>
      </c>
      <c r="J36" s="22" t="n">
        <f aca="false">IF(H36="—","—",'Quy tac'!$B$5^(I36/H36))</f>
        <v>0.9</v>
      </c>
      <c r="K36" s="19" t="str">
        <f aca="false">IF(H36="—","Câu mới",IF(I36&gt;=H36,"Có","Chưa"))</f>
        <v>Có</v>
      </c>
      <c r="L36" s="21" t="s">
        <v>55</v>
      </c>
      <c r="M36" s="19" t="str">
        <f aca="false">RIGHT(IF(F36="—","",F36)&amp;IF(L36="Đúng","Đ","S"),'Quy tac'!$B$7)</f>
        <v>SĐSĐ</v>
      </c>
      <c r="N36" s="22" t="n">
        <f aca="false">(LEN(M36)-LEN(SUBSTITUTE(M36,"S",""))+1)/(LEN(M36)+2)</f>
        <v>0.5</v>
      </c>
      <c r="O36" s="19" t="n">
        <f aca="false">IF(H36="—",IF(L36="Đúng",INDEX('Quy tac'!$B$17:$B$22,2),INDEX('Quy tac'!$B$17:$B$22,1)),IF(L36="Sai",INDEX('Quy tac'!$B$17:$B$22,1),IF(I36&gt;=H36,INDEX('Quy tac'!$B$17:$B$22,MIN(MATCH(H36,'Quy tac'!$B$17:$B$22,0)+1,6)),H36)))</f>
        <v>3</v>
      </c>
      <c r="P36" s="20" t="n">
        <f aca="false">B36+O36</f>
        <v>7</v>
      </c>
      <c r="Q36" s="23" t="str">
        <f aca="false">IF(H36="—",IF(L36="Đúng","Lần đầu đúng → 3 ngày","Lần đầu sai → 1 ngày"),IF(L36="Sai","Sai → về 1 ngày",IF(I36&gt;=H36,"Đúng, đến hạn → lên 1 bậc","Đúng nhưng ôn sớm → giữ bậc")))</f>
        <v>Đúng, đến hạn → lên 1 bậc</v>
      </c>
    </row>
    <row r="37" customFormat="false" ht="15" hidden="false" customHeight="false" outlineLevel="0" collapsed="false">
      <c r="A37" s="19" t="n">
        <v>4</v>
      </c>
      <c r="B37" s="20" t="n">
        <v>4</v>
      </c>
      <c r="C37" s="19" t="n">
        <v>6</v>
      </c>
      <c r="D37" s="19" t="s">
        <v>52</v>
      </c>
      <c r="E37" s="19" t="s">
        <v>82</v>
      </c>
      <c r="F37" s="21" t="s">
        <v>84</v>
      </c>
      <c r="G37" s="22" t="n">
        <f aca="false">IF(F37="—","—",(LEN(F37)-LEN(SUBSTITUTE(F37,"S",""))+1)/(LEN(F37)+2))</f>
        <v>0.333333333333333</v>
      </c>
      <c r="H37" s="21" t="n">
        <v>3</v>
      </c>
      <c r="I37" s="21" t="n">
        <v>3</v>
      </c>
      <c r="J37" s="22" t="n">
        <f aca="false">IF(H37="—","—",'Quy tac'!$B$5^(I37/H37))</f>
        <v>0.9</v>
      </c>
      <c r="K37" s="19" t="str">
        <f aca="false">IF(H37="—","Câu mới",IF(I37&gt;=H37,"Có","Chưa"))</f>
        <v>Có</v>
      </c>
      <c r="L37" s="21" t="s">
        <v>58</v>
      </c>
      <c r="M37" s="19" t="str">
        <f aca="false">RIGHT(IF(F37="—","",F37)&amp;IF(L37="Đúng","Đ","S"),'Quy tac'!$B$7)</f>
        <v>ĐS</v>
      </c>
      <c r="N37" s="22" t="n">
        <f aca="false">(LEN(M37)-LEN(SUBSTITUTE(M37,"S",""))+1)/(LEN(M37)+2)</f>
        <v>0.5</v>
      </c>
      <c r="O37" s="19" t="n">
        <f aca="false">IF(H37="—",IF(L37="Đúng",INDEX('Quy tac'!$B$17:$B$22,2),INDEX('Quy tac'!$B$17:$B$22,1)),IF(L37="Sai",INDEX('Quy tac'!$B$17:$B$22,1),IF(I37&gt;=H37,INDEX('Quy tac'!$B$17:$B$22,MIN(MATCH(H37,'Quy tac'!$B$17:$B$22,0)+1,6)),H37)))</f>
        <v>1</v>
      </c>
      <c r="P37" s="20" t="n">
        <f aca="false">B37+O37</f>
        <v>5</v>
      </c>
      <c r="Q37" s="23" t="str">
        <f aca="false">IF(H37="—",IF(L37="Đúng","Lần đầu đúng → 3 ngày","Lần đầu sai → 1 ngày"),IF(L37="Sai","Sai → về 1 ngày",IF(I37&gt;=H37,"Đúng, đến hạn → lên 1 bậc","Đúng nhưng ôn sớm → giữ bậc")))</f>
        <v>Sai → về 1 ngày</v>
      </c>
    </row>
    <row r="38" customFormat="false" ht="15" hidden="false" customHeight="false" outlineLevel="0" collapsed="false">
      <c r="A38" s="19" t="n">
        <v>4</v>
      </c>
      <c r="B38" s="20" t="n">
        <v>4</v>
      </c>
      <c r="C38" s="19" t="n">
        <v>7</v>
      </c>
      <c r="D38" s="19" t="s">
        <v>56</v>
      </c>
      <c r="E38" s="19" t="s">
        <v>82</v>
      </c>
      <c r="F38" s="21" t="s">
        <v>84</v>
      </c>
      <c r="G38" s="22" t="n">
        <f aca="false">IF(F38="—","—",(LEN(F38)-LEN(SUBSTITUTE(F38,"S",""))+1)/(LEN(F38)+2))</f>
        <v>0.333333333333333</v>
      </c>
      <c r="H38" s="21" t="n">
        <v>3</v>
      </c>
      <c r="I38" s="21" t="n">
        <v>3</v>
      </c>
      <c r="J38" s="22" t="n">
        <f aca="false">IF(H38="—","—",'Quy tac'!$B$5^(I38/H38))</f>
        <v>0.9</v>
      </c>
      <c r="K38" s="19" t="str">
        <f aca="false">IF(H38="—","Câu mới",IF(I38&gt;=H38,"Có","Chưa"))</f>
        <v>Có</v>
      </c>
      <c r="L38" s="21" t="s">
        <v>55</v>
      </c>
      <c r="M38" s="19" t="str">
        <f aca="false">RIGHT(IF(F38="—","",F38)&amp;IF(L38="Đúng","Đ","S"),'Quy tac'!$B$7)</f>
        <v>ĐĐ</v>
      </c>
      <c r="N38" s="22" t="n">
        <f aca="false">(LEN(M38)-LEN(SUBSTITUTE(M38,"S",""))+1)/(LEN(M38)+2)</f>
        <v>0.25</v>
      </c>
      <c r="O38" s="19" t="n">
        <f aca="false">IF(H38="—",IF(L38="Đúng",INDEX('Quy tac'!$B$17:$B$22,2),INDEX('Quy tac'!$B$17:$B$22,1)),IF(L38="Sai",INDEX('Quy tac'!$B$17:$B$22,1),IF(I38&gt;=H38,INDEX('Quy tac'!$B$17:$B$22,MIN(MATCH(H38,'Quy tac'!$B$17:$B$22,0)+1,6)),H38)))</f>
        <v>7</v>
      </c>
      <c r="P38" s="20" t="n">
        <f aca="false">B38+O38</f>
        <v>11</v>
      </c>
      <c r="Q38" s="23" t="str">
        <f aca="false">IF(H38="—",IF(L38="Đúng","Lần đầu đúng → 3 ngày","Lần đầu sai → 1 ngày"),IF(L38="Sai","Sai → về 1 ngày",IF(I38&gt;=H38,"Đúng, đến hạn → lên 1 bậc","Đúng nhưng ôn sớm → giữ bậc")))</f>
        <v>Đúng, đến hạn → lên 1 bậc</v>
      </c>
    </row>
    <row r="39" customFormat="false" ht="15" hidden="false" customHeight="false" outlineLevel="0" collapsed="false">
      <c r="A39" s="9" t="n">
        <v>4</v>
      </c>
      <c r="B39" s="10" t="n">
        <v>4</v>
      </c>
      <c r="C39" s="9" t="n">
        <v>8</v>
      </c>
      <c r="D39" s="9" t="s">
        <v>85</v>
      </c>
      <c r="E39" s="9" t="s">
        <v>53</v>
      </c>
      <c r="F39" s="11" t="s">
        <v>54</v>
      </c>
      <c r="G39" s="12" t="str">
        <f aca="false">IF(F39="—","—",(LEN(F39)-LEN(SUBSTITUTE(F39,"S",""))+1)/(LEN(F39)+2))</f>
        <v>—</v>
      </c>
      <c r="H39" s="11" t="s">
        <v>54</v>
      </c>
      <c r="I39" s="11" t="s">
        <v>54</v>
      </c>
      <c r="J39" s="12" t="str">
        <f aca="false">IF(H39="—","—",'Quy tac'!$B$5^(I39/H39))</f>
        <v>—</v>
      </c>
      <c r="K39" s="9" t="str">
        <f aca="false">IF(H39="—","Câu mới",IF(I39&gt;=H39,"Có","Chưa"))</f>
        <v>Câu mới</v>
      </c>
      <c r="L39" s="11" t="s">
        <v>55</v>
      </c>
      <c r="M39" s="9" t="str">
        <f aca="false">RIGHT(IF(F39="—","",F39)&amp;IF(L39="Đúng","Đ","S"),'Quy tac'!$B$7)</f>
        <v>Đ</v>
      </c>
      <c r="N39" s="12" t="n">
        <f aca="false">(LEN(M39)-LEN(SUBSTITUTE(M39,"S",""))+1)/(LEN(M39)+2)</f>
        <v>0.333333333333333</v>
      </c>
      <c r="O39" s="9" t="n">
        <f aca="false">IF(H39="—",IF(L39="Đúng",INDEX('Quy tac'!$B$17:$B$22,2),INDEX('Quy tac'!$B$17:$B$22,1)),IF(L39="Sai",INDEX('Quy tac'!$B$17:$B$22,1),IF(I39&gt;=H39,INDEX('Quy tac'!$B$17:$B$22,MIN(MATCH(H39,'Quy tac'!$B$17:$B$22,0)+1,6)),H39)))</f>
        <v>3</v>
      </c>
      <c r="P39" s="10" t="n">
        <f aca="false">B39+O39</f>
        <v>7</v>
      </c>
      <c r="Q39" s="13" t="str">
        <f aca="false">IF(H39="—",IF(L39="Đúng","Lần đầu đúng → 3 ngày","Lần đầu sai → 1 ngày"),IF(L39="Sai","Sai → về 1 ngày",IF(I39&gt;=H39,"Đúng, đến hạn → lên 1 bậc","Đúng nhưng ôn sớm → giữ bậc")))</f>
        <v>Lần đầu đúng → 3 ngày</v>
      </c>
    </row>
    <row r="40" customFormat="false" ht="15" hidden="false" customHeight="false" outlineLevel="0" collapsed="false">
      <c r="A40" s="9" t="n">
        <v>4</v>
      </c>
      <c r="B40" s="10" t="n">
        <v>4</v>
      </c>
      <c r="C40" s="9" t="n">
        <v>9</v>
      </c>
      <c r="D40" s="9" t="s">
        <v>86</v>
      </c>
      <c r="E40" s="9" t="s">
        <v>53</v>
      </c>
      <c r="F40" s="11" t="s">
        <v>54</v>
      </c>
      <c r="G40" s="12" t="str">
        <f aca="false">IF(F40="—","—",(LEN(F40)-LEN(SUBSTITUTE(F40,"S",""))+1)/(LEN(F40)+2))</f>
        <v>—</v>
      </c>
      <c r="H40" s="11" t="s">
        <v>54</v>
      </c>
      <c r="I40" s="11" t="s">
        <v>54</v>
      </c>
      <c r="J40" s="12" t="str">
        <f aca="false">IF(H40="—","—",'Quy tac'!$B$5^(I40/H40))</f>
        <v>—</v>
      </c>
      <c r="K40" s="9" t="str">
        <f aca="false">IF(H40="—","Câu mới",IF(I40&gt;=H40,"Có","Chưa"))</f>
        <v>Câu mới</v>
      </c>
      <c r="L40" s="11" t="s">
        <v>58</v>
      </c>
      <c r="M40" s="9" t="str">
        <f aca="false">RIGHT(IF(F40="—","",F40)&amp;IF(L40="Đúng","Đ","S"),'Quy tac'!$B$7)</f>
        <v>S</v>
      </c>
      <c r="N40" s="12" t="n">
        <f aca="false">(LEN(M40)-LEN(SUBSTITUTE(M40,"S",""))+1)/(LEN(M40)+2)</f>
        <v>0.666666666666667</v>
      </c>
      <c r="O40" s="9" t="n">
        <f aca="false">IF(H40="—",IF(L40="Đúng",INDEX('Quy tac'!$B$17:$B$22,2),INDEX('Quy tac'!$B$17:$B$22,1)),IF(L40="Sai",INDEX('Quy tac'!$B$17:$B$22,1),IF(I40&gt;=H40,INDEX('Quy tac'!$B$17:$B$22,MIN(MATCH(H40,'Quy tac'!$B$17:$B$22,0)+1,6)),H40)))</f>
        <v>1</v>
      </c>
      <c r="P40" s="10" t="n">
        <f aca="false">B40+O40</f>
        <v>5</v>
      </c>
      <c r="Q40" s="13" t="str">
        <f aca="false">IF(H40="—",IF(L40="Đúng","Lần đầu đúng → 3 ngày","Lần đầu sai → 1 ngày"),IF(L40="Sai","Sai → về 1 ngày",IF(I40&gt;=H40,"Đúng, đến hạn → lên 1 bậc","Đúng nhưng ôn sớm → giữ bậc")))</f>
        <v>Lần đầu sai → 1 ngày</v>
      </c>
    </row>
    <row r="41" customFormat="false" ht="15" hidden="false" customHeight="false" outlineLevel="0" collapsed="false">
      <c r="A41" s="9" t="n">
        <v>4</v>
      </c>
      <c r="B41" s="10" t="n">
        <v>4</v>
      </c>
      <c r="C41" s="9" t="n">
        <v>10</v>
      </c>
      <c r="D41" s="9" t="s">
        <v>87</v>
      </c>
      <c r="E41" s="9" t="s">
        <v>53</v>
      </c>
      <c r="F41" s="11" t="s">
        <v>54</v>
      </c>
      <c r="G41" s="12" t="str">
        <f aca="false">IF(F41="—","—",(LEN(F41)-LEN(SUBSTITUTE(F41,"S",""))+1)/(LEN(F41)+2))</f>
        <v>—</v>
      </c>
      <c r="H41" s="11" t="s">
        <v>54</v>
      </c>
      <c r="I41" s="11" t="s">
        <v>54</v>
      </c>
      <c r="J41" s="12" t="str">
        <f aca="false">IF(H41="—","—",'Quy tac'!$B$5^(I41/H41))</f>
        <v>—</v>
      </c>
      <c r="K41" s="9" t="str">
        <f aca="false">IF(H41="—","Câu mới",IF(I41&gt;=H41,"Có","Chưa"))</f>
        <v>Câu mới</v>
      </c>
      <c r="L41" s="11" t="s">
        <v>58</v>
      </c>
      <c r="M41" s="9" t="str">
        <f aca="false">RIGHT(IF(F41="—","",F41)&amp;IF(L41="Đúng","Đ","S"),'Quy tac'!$B$7)</f>
        <v>S</v>
      </c>
      <c r="N41" s="12" t="n">
        <f aca="false">(LEN(M41)-LEN(SUBSTITUTE(M41,"S",""))+1)/(LEN(M41)+2)</f>
        <v>0.666666666666667</v>
      </c>
      <c r="O41" s="9" t="n">
        <f aca="false">IF(H41="—",IF(L41="Đúng",INDEX('Quy tac'!$B$17:$B$22,2),INDEX('Quy tac'!$B$17:$B$22,1)),IF(L41="Sai",INDEX('Quy tac'!$B$17:$B$22,1),IF(I41&gt;=H41,INDEX('Quy tac'!$B$17:$B$22,MIN(MATCH(H41,'Quy tac'!$B$17:$B$22,0)+1,6)),H41)))</f>
        <v>1</v>
      </c>
      <c r="P41" s="10" t="n">
        <f aca="false">B41+O41</f>
        <v>5</v>
      </c>
      <c r="Q41" s="13" t="str">
        <f aca="false">IF(H41="—",IF(L41="Đúng","Lần đầu đúng → 3 ngày","Lần đầu sai → 1 ngày"),IF(L41="Sai","Sai → về 1 ngày",IF(I41&gt;=H41,"Đúng, đến hạn → lên 1 bậc","Đúng nhưng ôn sớm → giữ bậc")))</f>
        <v>Lần đầu sai → 1 ngày</v>
      </c>
    </row>
    <row r="42" customFormat="false" ht="15" hidden="false" customHeight="false" outlineLevel="0" collapsed="false">
      <c r="A42" s="14" t="n">
        <v>5</v>
      </c>
      <c r="B42" s="15" t="n">
        <v>5</v>
      </c>
      <c r="C42" s="14" t="n">
        <v>1</v>
      </c>
      <c r="D42" s="14" t="s">
        <v>86</v>
      </c>
      <c r="E42" s="14" t="s">
        <v>66</v>
      </c>
      <c r="F42" s="16" t="s">
        <v>67</v>
      </c>
      <c r="G42" s="17" t="n">
        <f aca="false">IF(F42="—","—",(LEN(F42)-LEN(SUBSTITUTE(F42,"S",""))+1)/(LEN(F42)+2))</f>
        <v>0.666666666666667</v>
      </c>
      <c r="H42" s="16" t="n">
        <v>1</v>
      </c>
      <c r="I42" s="16" t="n">
        <v>1</v>
      </c>
      <c r="J42" s="17" t="n">
        <f aca="false">IF(H42="—","—",'Quy tac'!$B$5^(I42/H42))</f>
        <v>0.9</v>
      </c>
      <c r="K42" s="14" t="str">
        <f aca="false">IF(H42="—","Câu mới",IF(I42&gt;=H42,"Có","Chưa"))</f>
        <v>Có</v>
      </c>
      <c r="L42" s="16" t="s">
        <v>55</v>
      </c>
      <c r="M42" s="14" t="str">
        <f aca="false">RIGHT(IF(F42="—","",F42)&amp;IF(L42="Đúng","Đ","S"),'Quy tac'!$B$7)</f>
        <v>SĐ</v>
      </c>
      <c r="N42" s="17" t="n">
        <f aca="false">(LEN(M42)-LEN(SUBSTITUTE(M42,"S",""))+1)/(LEN(M42)+2)</f>
        <v>0.5</v>
      </c>
      <c r="O42" s="14" t="n">
        <f aca="false">IF(H42="—",IF(L42="Đúng",INDEX('Quy tac'!$B$17:$B$22,2),INDEX('Quy tac'!$B$17:$B$22,1)),IF(L42="Sai",INDEX('Quy tac'!$B$17:$B$22,1),IF(I42&gt;=H42,INDEX('Quy tac'!$B$17:$B$22,MIN(MATCH(H42,'Quy tac'!$B$17:$B$22,0)+1,6)),H42)))</f>
        <v>3</v>
      </c>
      <c r="P42" s="15" t="n">
        <f aca="false">B42+O42</f>
        <v>8</v>
      </c>
      <c r="Q42" s="18" t="str">
        <f aca="false">IF(H42="—",IF(L42="Đúng","Lần đầu đúng → 3 ngày","Lần đầu sai → 1 ngày"),IF(L42="Sai","Sai → về 1 ngày",IF(I42&gt;=H42,"Đúng, đến hạn → lên 1 bậc","Đúng nhưng ôn sớm → giữ bậc")))</f>
        <v>Đúng, đến hạn → lên 1 bậc</v>
      </c>
    </row>
    <row r="43" customFormat="false" ht="15" hidden="false" customHeight="false" outlineLevel="0" collapsed="false">
      <c r="A43" s="14" t="n">
        <v>5</v>
      </c>
      <c r="B43" s="15" t="n">
        <v>5</v>
      </c>
      <c r="C43" s="14" t="n">
        <v>2</v>
      </c>
      <c r="D43" s="14" t="s">
        <v>87</v>
      </c>
      <c r="E43" s="14" t="s">
        <v>66</v>
      </c>
      <c r="F43" s="16" t="s">
        <v>67</v>
      </c>
      <c r="G43" s="17" t="n">
        <f aca="false">IF(F43="—","—",(LEN(F43)-LEN(SUBSTITUTE(F43,"S",""))+1)/(LEN(F43)+2))</f>
        <v>0.666666666666667</v>
      </c>
      <c r="H43" s="16" t="n">
        <v>1</v>
      </c>
      <c r="I43" s="16" t="n">
        <v>1</v>
      </c>
      <c r="J43" s="17" t="n">
        <f aca="false">IF(H43="—","—",'Quy tac'!$B$5^(I43/H43))</f>
        <v>0.9</v>
      </c>
      <c r="K43" s="14" t="str">
        <f aca="false">IF(H43="—","Câu mới",IF(I43&gt;=H43,"Có","Chưa"))</f>
        <v>Có</v>
      </c>
      <c r="L43" s="16" t="s">
        <v>55</v>
      </c>
      <c r="M43" s="14" t="str">
        <f aca="false">RIGHT(IF(F43="—","",F43)&amp;IF(L43="Đúng","Đ","S"),'Quy tac'!$B$7)</f>
        <v>SĐ</v>
      </c>
      <c r="N43" s="17" t="n">
        <f aca="false">(LEN(M43)-LEN(SUBSTITUTE(M43,"S",""))+1)/(LEN(M43)+2)</f>
        <v>0.5</v>
      </c>
      <c r="O43" s="14" t="n">
        <f aca="false">IF(H43="—",IF(L43="Đúng",INDEX('Quy tac'!$B$17:$B$22,2),INDEX('Quy tac'!$B$17:$B$22,1)),IF(L43="Sai",INDEX('Quy tac'!$B$17:$B$22,1),IF(I43&gt;=H43,INDEX('Quy tac'!$B$17:$B$22,MIN(MATCH(H43,'Quy tac'!$B$17:$B$22,0)+1,6)),H43)))</f>
        <v>3</v>
      </c>
      <c r="P43" s="15" t="n">
        <f aca="false">B43+O43</f>
        <v>8</v>
      </c>
      <c r="Q43" s="18" t="str">
        <f aca="false">IF(H43="—",IF(L43="Đúng","Lần đầu đúng → 3 ngày","Lần đầu sai → 1 ngày"),IF(L43="Sai","Sai → về 1 ngày",IF(I43&gt;=H43,"Đúng, đến hạn → lên 1 bậc","Đúng nhưng ôn sớm → giữ bậc")))</f>
        <v>Đúng, đến hạn → lên 1 bậc</v>
      </c>
    </row>
    <row r="44" customFormat="false" ht="15" hidden="false" customHeight="false" outlineLevel="0" collapsed="false">
      <c r="A44" s="14" t="n">
        <v>5</v>
      </c>
      <c r="B44" s="15" t="n">
        <v>5</v>
      </c>
      <c r="C44" s="14" t="n">
        <v>3</v>
      </c>
      <c r="D44" s="14" t="s">
        <v>57</v>
      </c>
      <c r="E44" s="14" t="s">
        <v>66</v>
      </c>
      <c r="F44" s="16" t="s">
        <v>88</v>
      </c>
      <c r="G44" s="17" t="n">
        <f aca="false">IF(F44="—","—",(LEN(F44)-LEN(SUBSTITUTE(F44,"S",""))+1)/(LEN(F44)+2))</f>
        <v>0.666666666666667</v>
      </c>
      <c r="H44" s="16" t="n">
        <v>3</v>
      </c>
      <c r="I44" s="16" t="n">
        <v>1</v>
      </c>
      <c r="J44" s="17" t="n">
        <f aca="false">IF(H44="—","—",'Quy tac'!$B$5^(I44/H44))</f>
        <v>0.96548938460563</v>
      </c>
      <c r="K44" s="14" t="str">
        <f aca="false">IF(H44="—","Câu mới",IF(I44&gt;=H44,"Có","Chưa"))</f>
        <v>Chưa</v>
      </c>
      <c r="L44" s="16" t="s">
        <v>55</v>
      </c>
      <c r="M44" s="14" t="str">
        <f aca="false">RIGHT(IF(F44="—","",F44)&amp;IF(L44="Đúng","Đ","S"),'Quy tac'!$B$7)</f>
        <v>SSSĐĐ</v>
      </c>
      <c r="N44" s="17" t="n">
        <f aca="false">(LEN(M44)-LEN(SUBSTITUTE(M44,"S",""))+1)/(LEN(M44)+2)</f>
        <v>0.571428571428571</v>
      </c>
      <c r="O44" s="14" t="n">
        <f aca="false">IF(H44="—",IF(L44="Đúng",INDEX('Quy tac'!$B$17:$B$22,2),INDEX('Quy tac'!$B$17:$B$22,1)),IF(L44="Sai",INDEX('Quy tac'!$B$17:$B$22,1),IF(I44&gt;=H44,INDEX('Quy tac'!$B$17:$B$22,MIN(MATCH(H44,'Quy tac'!$B$17:$B$22,0)+1,6)),H44)))</f>
        <v>3</v>
      </c>
      <c r="P44" s="15" t="n">
        <f aca="false">B44+O44</f>
        <v>8</v>
      </c>
      <c r="Q44" s="18" t="str">
        <f aca="false">IF(H44="—",IF(L44="Đúng","Lần đầu đúng → 3 ngày","Lần đầu sai → 1 ngày"),IF(L44="Sai","Sai → về 1 ngày",IF(I44&gt;=H44,"Đúng, đến hạn → lên 1 bậc","Đúng nhưng ôn sớm → giữ bậc")))</f>
        <v>Đúng nhưng ôn sớm → giữ bậc</v>
      </c>
    </row>
    <row r="45" customFormat="false" ht="15" hidden="false" customHeight="false" outlineLevel="0" collapsed="false">
      <c r="A45" s="14" t="n">
        <v>5</v>
      </c>
      <c r="B45" s="15" t="n">
        <v>5</v>
      </c>
      <c r="C45" s="14" t="n">
        <v>4</v>
      </c>
      <c r="D45" s="14" t="s">
        <v>71</v>
      </c>
      <c r="E45" s="14" t="s">
        <v>66</v>
      </c>
      <c r="F45" s="16" t="s">
        <v>89</v>
      </c>
      <c r="G45" s="17" t="n">
        <f aca="false">IF(F45="—","—",(LEN(F45)-LEN(SUBSTITUTE(F45,"S",""))+1)/(LEN(F45)+2))</f>
        <v>0.6</v>
      </c>
      <c r="H45" s="16" t="n">
        <v>3</v>
      </c>
      <c r="I45" s="16" t="n">
        <v>1</v>
      </c>
      <c r="J45" s="17" t="n">
        <f aca="false">IF(H45="—","—",'Quy tac'!$B$5^(I45/H45))</f>
        <v>0.96548938460563</v>
      </c>
      <c r="K45" s="14" t="str">
        <f aca="false">IF(H45="—","Câu mới",IF(I45&gt;=H45,"Có","Chưa"))</f>
        <v>Chưa</v>
      </c>
      <c r="L45" s="16" t="s">
        <v>55</v>
      </c>
      <c r="M45" s="14" t="str">
        <f aca="false">RIGHT(IF(F45="—","",F45)&amp;IF(L45="Đúng","Đ","S"),'Quy tac'!$B$7)</f>
        <v>SSĐĐ</v>
      </c>
      <c r="N45" s="17" t="n">
        <f aca="false">(LEN(M45)-LEN(SUBSTITUTE(M45,"S",""))+1)/(LEN(M45)+2)</f>
        <v>0.5</v>
      </c>
      <c r="O45" s="14" t="n">
        <f aca="false">IF(H45="—",IF(L45="Đúng",INDEX('Quy tac'!$B$17:$B$22,2),INDEX('Quy tac'!$B$17:$B$22,1)),IF(L45="Sai",INDEX('Quy tac'!$B$17:$B$22,1),IF(I45&gt;=H45,INDEX('Quy tac'!$B$17:$B$22,MIN(MATCH(H45,'Quy tac'!$B$17:$B$22,0)+1,6)),H45)))</f>
        <v>3</v>
      </c>
      <c r="P45" s="15" t="n">
        <f aca="false">B45+O45</f>
        <v>8</v>
      </c>
      <c r="Q45" s="18" t="str">
        <f aca="false">IF(H45="—",IF(L45="Đúng","Lần đầu đúng → 3 ngày","Lần đầu sai → 1 ngày"),IF(L45="Sai","Sai → về 1 ngày",IF(I45&gt;=H45,"Đúng, đến hạn → lên 1 bậc","Đúng nhưng ôn sớm → giữ bậc")))</f>
        <v>Đúng nhưng ôn sớm → giữ bậc</v>
      </c>
    </row>
    <row r="46" customFormat="false" ht="15" hidden="false" customHeight="false" outlineLevel="0" collapsed="false">
      <c r="A46" s="19" t="n">
        <v>5</v>
      </c>
      <c r="B46" s="20" t="n">
        <v>5</v>
      </c>
      <c r="C46" s="19" t="n">
        <v>5</v>
      </c>
      <c r="D46" s="19" t="s">
        <v>59</v>
      </c>
      <c r="E46" s="19" t="s">
        <v>82</v>
      </c>
      <c r="F46" s="21" t="s">
        <v>84</v>
      </c>
      <c r="G46" s="22" t="n">
        <f aca="false">IF(F46="—","—",(LEN(F46)-LEN(SUBSTITUTE(F46,"S",""))+1)/(LEN(F46)+2))</f>
        <v>0.333333333333333</v>
      </c>
      <c r="H46" s="21" t="n">
        <v>3</v>
      </c>
      <c r="I46" s="21" t="n">
        <v>4</v>
      </c>
      <c r="J46" s="22" t="n">
        <f aca="false">IF(H46="—","—",'Quy tac'!$B$5^(I46/H46))</f>
        <v>0.868940446145067</v>
      </c>
      <c r="K46" s="19" t="str">
        <f aca="false">IF(H46="—","Câu mới",IF(I46&gt;=H46,"Có","Chưa"))</f>
        <v>Có</v>
      </c>
      <c r="L46" s="21" t="s">
        <v>58</v>
      </c>
      <c r="M46" s="19" t="str">
        <f aca="false">RIGHT(IF(F46="—","",F46)&amp;IF(L46="Đúng","Đ","S"),'Quy tac'!$B$7)</f>
        <v>ĐS</v>
      </c>
      <c r="N46" s="22" t="n">
        <f aca="false">(LEN(M46)-LEN(SUBSTITUTE(M46,"S",""))+1)/(LEN(M46)+2)</f>
        <v>0.5</v>
      </c>
      <c r="O46" s="19" t="n">
        <f aca="false">IF(H46="—",IF(L46="Đúng",INDEX('Quy tac'!$B$17:$B$22,2),INDEX('Quy tac'!$B$17:$B$22,1)),IF(L46="Sai",INDEX('Quy tac'!$B$17:$B$22,1),IF(I46&gt;=H46,INDEX('Quy tac'!$B$17:$B$22,MIN(MATCH(H46,'Quy tac'!$B$17:$B$22,0)+1,6)),H46)))</f>
        <v>1</v>
      </c>
      <c r="P46" s="20" t="n">
        <f aca="false">B46+O46</f>
        <v>6</v>
      </c>
      <c r="Q46" s="23" t="str">
        <f aca="false">IF(H46="—",IF(L46="Đúng","Lần đầu đúng → 3 ngày","Lần đầu sai → 1 ngày"),IF(L46="Sai","Sai → về 1 ngày",IF(I46&gt;=H46,"Đúng, đến hạn → lên 1 bậc","Đúng nhưng ôn sớm → giữ bậc")))</f>
        <v>Sai → về 1 ngày</v>
      </c>
    </row>
    <row r="47" customFormat="false" ht="15" hidden="false" customHeight="false" outlineLevel="0" collapsed="false">
      <c r="A47" s="19" t="n">
        <v>5</v>
      </c>
      <c r="B47" s="20" t="n">
        <v>5</v>
      </c>
      <c r="C47" s="19" t="n">
        <v>6</v>
      </c>
      <c r="D47" s="19" t="s">
        <v>61</v>
      </c>
      <c r="E47" s="19" t="s">
        <v>82</v>
      </c>
      <c r="F47" s="21" t="s">
        <v>84</v>
      </c>
      <c r="G47" s="22" t="n">
        <f aca="false">IF(F47="—","—",(LEN(F47)-LEN(SUBSTITUTE(F47,"S",""))+1)/(LEN(F47)+2))</f>
        <v>0.333333333333333</v>
      </c>
      <c r="H47" s="21" t="n">
        <v>3</v>
      </c>
      <c r="I47" s="21" t="n">
        <v>4</v>
      </c>
      <c r="J47" s="22" t="n">
        <f aca="false">IF(H47="—","—",'Quy tac'!$B$5^(I47/H47))</f>
        <v>0.868940446145067</v>
      </c>
      <c r="K47" s="19" t="str">
        <f aca="false">IF(H47="—","Câu mới",IF(I47&gt;=H47,"Có","Chưa"))</f>
        <v>Có</v>
      </c>
      <c r="L47" s="21" t="s">
        <v>58</v>
      </c>
      <c r="M47" s="19" t="str">
        <f aca="false">RIGHT(IF(F47="—","",F47)&amp;IF(L47="Đúng","Đ","S"),'Quy tac'!$B$7)</f>
        <v>ĐS</v>
      </c>
      <c r="N47" s="22" t="n">
        <f aca="false">(LEN(M47)-LEN(SUBSTITUTE(M47,"S",""))+1)/(LEN(M47)+2)</f>
        <v>0.5</v>
      </c>
      <c r="O47" s="19" t="n">
        <f aca="false">IF(H47="—",IF(L47="Đúng",INDEX('Quy tac'!$B$17:$B$22,2),INDEX('Quy tac'!$B$17:$B$22,1)),IF(L47="Sai",INDEX('Quy tac'!$B$17:$B$22,1),IF(I47&gt;=H47,INDEX('Quy tac'!$B$17:$B$22,MIN(MATCH(H47,'Quy tac'!$B$17:$B$22,0)+1,6)),H47)))</f>
        <v>1</v>
      </c>
      <c r="P47" s="20" t="n">
        <f aca="false">B47+O47</f>
        <v>6</v>
      </c>
      <c r="Q47" s="23" t="str">
        <f aca="false">IF(H47="—",IF(L47="Đúng","Lần đầu đúng → 3 ngày","Lần đầu sai → 1 ngày"),IF(L47="Sai","Sai → về 1 ngày",IF(I47&gt;=H47,"Đúng, đến hạn → lên 1 bậc","Đúng nhưng ôn sớm → giữ bậc")))</f>
        <v>Sai → về 1 ngày</v>
      </c>
    </row>
    <row r="48" customFormat="false" ht="15" hidden="false" customHeight="false" outlineLevel="0" collapsed="false">
      <c r="A48" s="19" t="n">
        <v>5</v>
      </c>
      <c r="B48" s="20" t="n">
        <v>5</v>
      </c>
      <c r="C48" s="19" t="n">
        <v>7</v>
      </c>
      <c r="D48" s="19" t="s">
        <v>62</v>
      </c>
      <c r="E48" s="19" t="s">
        <v>82</v>
      </c>
      <c r="F48" s="21" t="s">
        <v>84</v>
      </c>
      <c r="G48" s="22" t="n">
        <f aca="false">IF(F48="—","—",(LEN(F48)-LEN(SUBSTITUTE(F48,"S",""))+1)/(LEN(F48)+2))</f>
        <v>0.333333333333333</v>
      </c>
      <c r="H48" s="21" t="n">
        <v>3</v>
      </c>
      <c r="I48" s="21" t="n">
        <v>4</v>
      </c>
      <c r="J48" s="22" t="n">
        <f aca="false">IF(H48="—","—",'Quy tac'!$B$5^(I48/H48))</f>
        <v>0.868940446145067</v>
      </c>
      <c r="K48" s="19" t="str">
        <f aca="false">IF(H48="—","Câu mới",IF(I48&gt;=H48,"Có","Chưa"))</f>
        <v>Có</v>
      </c>
      <c r="L48" s="21" t="s">
        <v>58</v>
      </c>
      <c r="M48" s="19" t="str">
        <f aca="false">RIGHT(IF(F48="—","",F48)&amp;IF(L48="Đúng","Đ","S"),'Quy tac'!$B$7)</f>
        <v>ĐS</v>
      </c>
      <c r="N48" s="22" t="n">
        <f aca="false">(LEN(M48)-LEN(SUBSTITUTE(M48,"S",""))+1)/(LEN(M48)+2)</f>
        <v>0.5</v>
      </c>
      <c r="O48" s="19" t="n">
        <f aca="false">IF(H48="—",IF(L48="Đúng",INDEX('Quy tac'!$B$17:$B$22,2),INDEX('Quy tac'!$B$17:$B$22,1)),IF(L48="Sai",INDEX('Quy tac'!$B$17:$B$22,1),IF(I48&gt;=H48,INDEX('Quy tac'!$B$17:$B$22,MIN(MATCH(H48,'Quy tac'!$B$17:$B$22,0)+1,6)),H48)))</f>
        <v>1</v>
      </c>
      <c r="P48" s="20" t="n">
        <f aca="false">B48+O48</f>
        <v>6</v>
      </c>
      <c r="Q48" s="23" t="str">
        <f aca="false">IF(H48="—",IF(L48="Đúng","Lần đầu đúng → 3 ngày","Lần đầu sai → 1 ngày"),IF(L48="Sai","Sai → về 1 ngày",IF(I48&gt;=H48,"Đúng, đến hạn → lên 1 bậc","Đúng nhưng ôn sớm → giữ bậc")))</f>
        <v>Sai → về 1 ngày</v>
      </c>
    </row>
    <row r="49" customFormat="false" ht="15" hidden="false" customHeight="false" outlineLevel="0" collapsed="false">
      <c r="A49" s="9" t="n">
        <v>5</v>
      </c>
      <c r="B49" s="10" t="n">
        <v>5</v>
      </c>
      <c r="C49" s="9" t="n">
        <v>8</v>
      </c>
      <c r="D49" s="9" t="s">
        <v>90</v>
      </c>
      <c r="E49" s="9" t="s">
        <v>53</v>
      </c>
      <c r="F49" s="11" t="s">
        <v>54</v>
      </c>
      <c r="G49" s="12" t="str">
        <f aca="false">IF(F49="—","—",(LEN(F49)-LEN(SUBSTITUTE(F49,"S",""))+1)/(LEN(F49)+2))</f>
        <v>—</v>
      </c>
      <c r="H49" s="11" t="s">
        <v>54</v>
      </c>
      <c r="I49" s="11" t="s">
        <v>54</v>
      </c>
      <c r="J49" s="12" t="str">
        <f aca="false">IF(H49="—","—",'Quy tac'!$B$5^(I49/H49))</f>
        <v>—</v>
      </c>
      <c r="K49" s="9" t="str">
        <f aca="false">IF(H49="—","Câu mới",IF(I49&gt;=H49,"Có","Chưa"))</f>
        <v>Câu mới</v>
      </c>
      <c r="L49" s="11" t="s">
        <v>55</v>
      </c>
      <c r="M49" s="9" t="str">
        <f aca="false">RIGHT(IF(F49="—","",F49)&amp;IF(L49="Đúng","Đ","S"),'Quy tac'!$B$7)</f>
        <v>Đ</v>
      </c>
      <c r="N49" s="12" t="n">
        <f aca="false">(LEN(M49)-LEN(SUBSTITUTE(M49,"S",""))+1)/(LEN(M49)+2)</f>
        <v>0.333333333333333</v>
      </c>
      <c r="O49" s="9" t="n">
        <f aca="false">IF(H49="—",IF(L49="Đúng",INDEX('Quy tac'!$B$17:$B$22,2),INDEX('Quy tac'!$B$17:$B$22,1)),IF(L49="Sai",INDEX('Quy tac'!$B$17:$B$22,1),IF(I49&gt;=H49,INDEX('Quy tac'!$B$17:$B$22,MIN(MATCH(H49,'Quy tac'!$B$17:$B$22,0)+1,6)),H49)))</f>
        <v>3</v>
      </c>
      <c r="P49" s="10" t="n">
        <f aca="false">B49+O49</f>
        <v>8</v>
      </c>
      <c r="Q49" s="13" t="str">
        <f aca="false">IF(H49="—",IF(L49="Đúng","Lần đầu đúng → 3 ngày","Lần đầu sai → 1 ngày"),IF(L49="Sai","Sai → về 1 ngày",IF(I49&gt;=H49,"Đúng, đến hạn → lên 1 bậc","Đúng nhưng ôn sớm → giữ bậc")))</f>
        <v>Lần đầu đúng → 3 ngày</v>
      </c>
    </row>
    <row r="50" customFormat="false" ht="15" hidden="false" customHeight="false" outlineLevel="0" collapsed="false">
      <c r="A50" s="9" t="n">
        <v>5</v>
      </c>
      <c r="B50" s="10" t="n">
        <v>5</v>
      </c>
      <c r="C50" s="9" t="n">
        <v>9</v>
      </c>
      <c r="D50" s="9" t="s">
        <v>91</v>
      </c>
      <c r="E50" s="9" t="s">
        <v>53</v>
      </c>
      <c r="F50" s="11" t="s">
        <v>54</v>
      </c>
      <c r="G50" s="12" t="str">
        <f aca="false">IF(F50="—","—",(LEN(F50)-LEN(SUBSTITUTE(F50,"S",""))+1)/(LEN(F50)+2))</f>
        <v>—</v>
      </c>
      <c r="H50" s="11" t="s">
        <v>54</v>
      </c>
      <c r="I50" s="11" t="s">
        <v>54</v>
      </c>
      <c r="J50" s="12" t="str">
        <f aca="false">IF(H50="—","—",'Quy tac'!$B$5^(I50/H50))</f>
        <v>—</v>
      </c>
      <c r="K50" s="9" t="str">
        <f aca="false">IF(H50="—","Câu mới",IF(I50&gt;=H50,"Có","Chưa"))</f>
        <v>Câu mới</v>
      </c>
      <c r="L50" s="11" t="s">
        <v>55</v>
      </c>
      <c r="M50" s="9" t="str">
        <f aca="false">RIGHT(IF(F50="—","",F50)&amp;IF(L50="Đúng","Đ","S"),'Quy tac'!$B$7)</f>
        <v>Đ</v>
      </c>
      <c r="N50" s="12" t="n">
        <f aca="false">(LEN(M50)-LEN(SUBSTITUTE(M50,"S",""))+1)/(LEN(M50)+2)</f>
        <v>0.333333333333333</v>
      </c>
      <c r="O50" s="9" t="n">
        <f aca="false">IF(H50="—",IF(L50="Đúng",INDEX('Quy tac'!$B$17:$B$22,2),INDEX('Quy tac'!$B$17:$B$22,1)),IF(L50="Sai",INDEX('Quy tac'!$B$17:$B$22,1),IF(I50&gt;=H50,INDEX('Quy tac'!$B$17:$B$22,MIN(MATCH(H50,'Quy tac'!$B$17:$B$22,0)+1,6)),H50)))</f>
        <v>3</v>
      </c>
      <c r="P50" s="10" t="n">
        <f aca="false">B50+O50</f>
        <v>8</v>
      </c>
      <c r="Q50" s="13" t="str">
        <f aca="false">IF(H50="—",IF(L50="Đúng","Lần đầu đúng → 3 ngày","Lần đầu sai → 1 ngày"),IF(L50="Sai","Sai → về 1 ngày",IF(I50&gt;=H50,"Đúng, đến hạn → lên 1 bậc","Đúng nhưng ôn sớm → giữ bậc")))</f>
        <v>Lần đầu đúng → 3 ngày</v>
      </c>
    </row>
    <row r="51" customFormat="false" ht="15" hidden="false" customHeight="false" outlineLevel="0" collapsed="false">
      <c r="A51" s="9" t="n">
        <v>5</v>
      </c>
      <c r="B51" s="10" t="n">
        <v>5</v>
      </c>
      <c r="C51" s="9" t="n">
        <v>10</v>
      </c>
      <c r="D51" s="9" t="s">
        <v>92</v>
      </c>
      <c r="E51" s="9" t="s">
        <v>53</v>
      </c>
      <c r="F51" s="11" t="s">
        <v>54</v>
      </c>
      <c r="G51" s="12" t="str">
        <f aca="false">IF(F51="—","—",(LEN(F51)-LEN(SUBSTITUTE(F51,"S",""))+1)/(LEN(F51)+2))</f>
        <v>—</v>
      </c>
      <c r="H51" s="11" t="s">
        <v>54</v>
      </c>
      <c r="I51" s="11" t="s">
        <v>54</v>
      </c>
      <c r="J51" s="12" t="str">
        <f aca="false">IF(H51="—","—",'Quy tac'!$B$5^(I51/H51))</f>
        <v>—</v>
      </c>
      <c r="K51" s="9" t="str">
        <f aca="false">IF(H51="—","Câu mới",IF(I51&gt;=H51,"Có","Chưa"))</f>
        <v>Câu mới</v>
      </c>
      <c r="L51" s="11" t="s">
        <v>58</v>
      </c>
      <c r="M51" s="9" t="str">
        <f aca="false">RIGHT(IF(F51="—","",F51)&amp;IF(L51="Đúng","Đ","S"),'Quy tac'!$B$7)</f>
        <v>S</v>
      </c>
      <c r="N51" s="12" t="n">
        <f aca="false">(LEN(M51)-LEN(SUBSTITUTE(M51,"S",""))+1)/(LEN(M51)+2)</f>
        <v>0.666666666666667</v>
      </c>
      <c r="O51" s="9" t="n">
        <f aca="false">IF(H51="—",IF(L51="Đúng",INDEX('Quy tac'!$B$17:$B$22,2),INDEX('Quy tac'!$B$17:$B$22,1)),IF(L51="Sai",INDEX('Quy tac'!$B$17:$B$22,1),IF(I51&gt;=H51,INDEX('Quy tac'!$B$17:$B$22,MIN(MATCH(H51,'Quy tac'!$B$17:$B$22,0)+1,6)),H51)))</f>
        <v>1</v>
      </c>
      <c r="P51" s="10" t="n">
        <f aca="false">B51+O51</f>
        <v>6</v>
      </c>
      <c r="Q51" s="13" t="str">
        <f aca="false">IF(H51="—",IF(L51="Đúng","Lần đầu đúng → 3 ngày","Lần đầu sai → 1 ngày"),IF(L51="Sai","Sai → về 1 ngày",IF(I51&gt;=H51,"Đúng, đến hạn → lên 1 bậc","Đúng nhưng ôn sớm → giữ bậc")))</f>
        <v>Lần đầu sai → 1 ngày</v>
      </c>
    </row>
    <row r="52" customFormat="false" ht="15" hidden="false" customHeight="false" outlineLevel="0" collapsed="false">
      <c r="A52" s="14" t="n">
        <v>6</v>
      </c>
      <c r="B52" s="15" t="n">
        <v>5.5</v>
      </c>
      <c r="C52" s="14" t="n">
        <v>1</v>
      </c>
      <c r="D52" s="14" t="s">
        <v>74</v>
      </c>
      <c r="E52" s="14" t="s">
        <v>66</v>
      </c>
      <c r="F52" s="16" t="s">
        <v>89</v>
      </c>
      <c r="G52" s="17" t="n">
        <f aca="false">IF(F52="—","—",(LEN(F52)-LEN(SUBSTITUTE(F52,"S",""))+1)/(LEN(F52)+2))</f>
        <v>0.6</v>
      </c>
      <c r="H52" s="16" t="n">
        <v>3</v>
      </c>
      <c r="I52" s="16" t="n">
        <v>1.5</v>
      </c>
      <c r="J52" s="17" t="n">
        <f aca="false">IF(H52="—","—",'Quy tac'!$B$5^(I52/H52))</f>
        <v>0.948683298050514</v>
      </c>
      <c r="K52" s="14" t="str">
        <f aca="false">IF(H52="—","Câu mới",IF(I52&gt;=H52,"Có","Chưa"))</f>
        <v>Chưa</v>
      </c>
      <c r="L52" s="16" t="s">
        <v>55</v>
      </c>
      <c r="M52" s="14" t="str">
        <f aca="false">RIGHT(IF(F52="—","",F52)&amp;IF(L52="Đúng","Đ","S"),'Quy tac'!$B$7)</f>
        <v>SSĐĐ</v>
      </c>
      <c r="N52" s="17" t="n">
        <f aca="false">(LEN(M52)-LEN(SUBSTITUTE(M52,"S",""))+1)/(LEN(M52)+2)</f>
        <v>0.5</v>
      </c>
      <c r="O52" s="14" t="n">
        <f aca="false">IF(H52="—",IF(L52="Đúng",INDEX('Quy tac'!$B$17:$B$22,2),INDEX('Quy tac'!$B$17:$B$22,1)),IF(L52="Sai",INDEX('Quy tac'!$B$17:$B$22,1),IF(I52&gt;=H52,INDEX('Quy tac'!$B$17:$B$22,MIN(MATCH(H52,'Quy tac'!$B$17:$B$22,0)+1,6)),H52)))</f>
        <v>3</v>
      </c>
      <c r="P52" s="15" t="n">
        <f aca="false">B52+O52</f>
        <v>8.5</v>
      </c>
      <c r="Q52" s="18" t="str">
        <f aca="false">IF(H52="—",IF(L52="Đúng","Lần đầu đúng → 3 ngày","Lần đầu sai → 1 ngày"),IF(L52="Sai","Sai → về 1 ngày",IF(I52&gt;=H52,"Đúng, đến hạn → lên 1 bậc","Đúng nhưng ôn sớm → giữ bậc")))</f>
        <v>Đúng nhưng ôn sớm → giữ bậc</v>
      </c>
    </row>
    <row r="53" customFormat="false" ht="15" hidden="false" customHeight="false" outlineLevel="0" collapsed="false">
      <c r="A53" s="14" t="n">
        <v>6</v>
      </c>
      <c r="B53" s="15" t="n">
        <v>5.5</v>
      </c>
      <c r="C53" s="14" t="n">
        <v>2</v>
      </c>
      <c r="D53" s="14" t="s">
        <v>52</v>
      </c>
      <c r="E53" s="14" t="s">
        <v>66</v>
      </c>
      <c r="F53" s="16" t="s">
        <v>93</v>
      </c>
      <c r="G53" s="17" t="n">
        <f aca="false">IF(F53="—","—",(LEN(F53)-LEN(SUBSTITUTE(F53,"S",""))+1)/(LEN(F53)+2))</f>
        <v>0.5</v>
      </c>
      <c r="H53" s="16" t="n">
        <v>1</v>
      </c>
      <c r="I53" s="16" t="n">
        <v>1.5</v>
      </c>
      <c r="J53" s="17" t="n">
        <f aca="false">IF(H53="—","—",'Quy tac'!$B$5^(I53/H53))</f>
        <v>0.853814968245462</v>
      </c>
      <c r="K53" s="14" t="str">
        <f aca="false">IF(H53="—","Câu mới",IF(I53&gt;=H53,"Có","Chưa"))</f>
        <v>Có</v>
      </c>
      <c r="L53" s="16" t="s">
        <v>58</v>
      </c>
      <c r="M53" s="14" t="str">
        <f aca="false">RIGHT(IF(F53="—","",F53)&amp;IF(L53="Đúng","Đ","S"),'Quy tac'!$B$7)</f>
        <v>ĐSS</v>
      </c>
      <c r="N53" s="17" t="n">
        <f aca="false">(LEN(M53)-LEN(SUBSTITUTE(M53,"S",""))+1)/(LEN(M53)+2)</f>
        <v>0.6</v>
      </c>
      <c r="O53" s="14" t="n">
        <f aca="false">IF(H53="—",IF(L53="Đúng",INDEX('Quy tac'!$B$17:$B$22,2),INDEX('Quy tac'!$B$17:$B$22,1)),IF(L53="Sai",INDEX('Quy tac'!$B$17:$B$22,1),IF(I53&gt;=H53,INDEX('Quy tac'!$B$17:$B$22,MIN(MATCH(H53,'Quy tac'!$B$17:$B$22,0)+1,6)),H53)))</f>
        <v>1</v>
      </c>
      <c r="P53" s="15" t="n">
        <f aca="false">B53+O53</f>
        <v>6.5</v>
      </c>
      <c r="Q53" s="18" t="str">
        <f aca="false">IF(H53="—",IF(L53="Đúng","Lần đầu đúng → 3 ngày","Lần đầu sai → 1 ngày"),IF(L53="Sai","Sai → về 1 ngày",IF(I53&gt;=H53,"Đúng, đến hạn → lên 1 bậc","Đúng nhưng ôn sớm → giữ bậc")))</f>
        <v>Sai → về 1 ngày</v>
      </c>
    </row>
    <row r="54" customFormat="false" ht="15" hidden="false" customHeight="false" outlineLevel="0" collapsed="false">
      <c r="A54" s="14" t="n">
        <v>6</v>
      </c>
      <c r="B54" s="15" t="n">
        <v>5.5</v>
      </c>
      <c r="C54" s="14" t="n">
        <v>3</v>
      </c>
      <c r="D54" s="14" t="s">
        <v>72</v>
      </c>
      <c r="E54" s="14" t="s">
        <v>66</v>
      </c>
      <c r="F54" s="16" t="s">
        <v>76</v>
      </c>
      <c r="G54" s="17" t="n">
        <f aca="false">IF(F54="—","—",(LEN(F54)-LEN(SUBSTITUTE(F54,"S",""))+1)/(LEN(F54)+2))</f>
        <v>0.5</v>
      </c>
      <c r="H54" s="16" t="n">
        <v>3</v>
      </c>
      <c r="I54" s="16" t="n">
        <v>2.5</v>
      </c>
      <c r="J54" s="17" t="n">
        <f aca="false">IF(H54="—","—",'Quy tac'!$B$5^(I54/H54))</f>
        <v>0.91594365362043</v>
      </c>
      <c r="K54" s="14" t="str">
        <f aca="false">IF(H54="—","Câu mới",IF(I54&gt;=H54,"Có","Chưa"))</f>
        <v>Chưa</v>
      </c>
      <c r="L54" s="16" t="s">
        <v>58</v>
      </c>
      <c r="M54" s="14" t="str">
        <f aca="false">RIGHT(IF(F54="—","",F54)&amp;IF(L54="Đúng","Đ","S"),'Quy tac'!$B$7)</f>
        <v>SĐS</v>
      </c>
      <c r="N54" s="17" t="n">
        <f aca="false">(LEN(M54)-LEN(SUBSTITUTE(M54,"S",""))+1)/(LEN(M54)+2)</f>
        <v>0.6</v>
      </c>
      <c r="O54" s="14" t="n">
        <f aca="false">IF(H54="—",IF(L54="Đúng",INDEX('Quy tac'!$B$17:$B$22,2),INDEX('Quy tac'!$B$17:$B$22,1)),IF(L54="Sai",INDEX('Quy tac'!$B$17:$B$22,1),IF(I54&gt;=H54,INDEX('Quy tac'!$B$17:$B$22,MIN(MATCH(H54,'Quy tac'!$B$17:$B$22,0)+1,6)),H54)))</f>
        <v>1</v>
      </c>
      <c r="P54" s="15" t="n">
        <f aca="false">B54+O54</f>
        <v>6.5</v>
      </c>
      <c r="Q54" s="18" t="str">
        <f aca="false">IF(H54="—",IF(L54="Đúng","Lần đầu đúng → 3 ngày","Lần đầu sai → 1 ngày"),IF(L54="Sai","Sai → về 1 ngày",IF(I54&gt;=H54,"Đúng, đến hạn → lên 1 bậc","Đúng nhưng ôn sớm → giữ bậc")))</f>
        <v>Sai → về 1 ngày</v>
      </c>
    </row>
    <row r="55" customFormat="false" ht="15" hidden="false" customHeight="false" outlineLevel="0" collapsed="false">
      <c r="A55" s="14" t="n">
        <v>6</v>
      </c>
      <c r="B55" s="15" t="n">
        <v>5.5</v>
      </c>
      <c r="C55" s="14" t="n">
        <v>4</v>
      </c>
      <c r="D55" s="14" t="s">
        <v>60</v>
      </c>
      <c r="E55" s="14" t="s">
        <v>66</v>
      </c>
      <c r="F55" s="16" t="s">
        <v>94</v>
      </c>
      <c r="G55" s="17" t="n">
        <f aca="false">IF(F55="—","—",(LEN(F55)-LEN(SUBSTITUTE(F55,"S",""))+1)/(LEN(F55)+2))</f>
        <v>0.5</v>
      </c>
      <c r="H55" s="16" t="n">
        <v>3</v>
      </c>
      <c r="I55" s="16" t="n">
        <v>1.5</v>
      </c>
      <c r="J55" s="17" t="n">
        <f aca="false">IF(H55="—","—",'Quy tac'!$B$5^(I55/H55))</f>
        <v>0.948683298050514</v>
      </c>
      <c r="K55" s="14" t="str">
        <f aca="false">IF(H55="—","Câu mới",IF(I55&gt;=H55,"Có","Chưa"))</f>
        <v>Chưa</v>
      </c>
      <c r="L55" s="16" t="s">
        <v>55</v>
      </c>
      <c r="M55" s="14" t="str">
        <f aca="false">RIGHT(IF(F55="—","",F55)&amp;IF(L55="Đúng","Đ","S"),'Quy tac'!$B$7)</f>
        <v>SĐSĐĐ</v>
      </c>
      <c r="N55" s="17" t="n">
        <f aca="false">(LEN(M55)-LEN(SUBSTITUTE(M55,"S",""))+1)/(LEN(M55)+2)</f>
        <v>0.428571428571429</v>
      </c>
      <c r="O55" s="14" t="n">
        <f aca="false">IF(H55="—",IF(L55="Đúng",INDEX('Quy tac'!$B$17:$B$22,2),INDEX('Quy tac'!$B$17:$B$22,1)),IF(L55="Sai",INDEX('Quy tac'!$B$17:$B$22,1),IF(I55&gt;=H55,INDEX('Quy tac'!$B$17:$B$22,MIN(MATCH(H55,'Quy tac'!$B$17:$B$22,0)+1,6)),H55)))</f>
        <v>3</v>
      </c>
      <c r="P55" s="15" t="n">
        <f aca="false">B55+O55</f>
        <v>8.5</v>
      </c>
      <c r="Q55" s="18" t="str">
        <f aca="false">IF(H55="—",IF(L55="Đúng","Lần đầu đúng → 3 ngày","Lần đầu sai → 1 ngày"),IF(L55="Sai","Sai → về 1 ngày",IF(I55&gt;=H55,"Đúng, đến hạn → lên 1 bậc","Đúng nhưng ôn sớm → giữ bậc")))</f>
        <v>Đúng nhưng ôn sớm → giữ bậc</v>
      </c>
    </row>
    <row r="56" customFormat="false" ht="15" hidden="false" customHeight="false" outlineLevel="0" collapsed="false">
      <c r="A56" s="19" t="n">
        <v>6</v>
      </c>
      <c r="B56" s="20" t="n">
        <v>5.5</v>
      </c>
      <c r="C56" s="19" t="n">
        <v>5</v>
      </c>
      <c r="D56" s="19" t="s">
        <v>63</v>
      </c>
      <c r="E56" s="19" t="s">
        <v>82</v>
      </c>
      <c r="F56" s="21" t="s">
        <v>84</v>
      </c>
      <c r="G56" s="22" t="n">
        <f aca="false">IF(F56="—","—",(LEN(F56)-LEN(SUBSTITUTE(F56,"S",""))+1)/(LEN(F56)+2))</f>
        <v>0.333333333333333</v>
      </c>
      <c r="H56" s="21" t="n">
        <v>3</v>
      </c>
      <c r="I56" s="21" t="n">
        <v>4.5</v>
      </c>
      <c r="J56" s="22" t="n">
        <f aca="false">IF(H56="—","—",'Quy tac'!$B$5^(I56/H56))</f>
        <v>0.853814968245462</v>
      </c>
      <c r="K56" s="19" t="str">
        <f aca="false">IF(H56="—","Câu mới",IF(I56&gt;=H56,"Có","Chưa"))</f>
        <v>Có</v>
      </c>
      <c r="L56" s="21" t="s">
        <v>55</v>
      </c>
      <c r="M56" s="19" t="str">
        <f aca="false">RIGHT(IF(F56="—","",F56)&amp;IF(L56="Đúng","Đ","S"),'Quy tac'!$B$7)</f>
        <v>ĐĐ</v>
      </c>
      <c r="N56" s="22" t="n">
        <f aca="false">(LEN(M56)-LEN(SUBSTITUTE(M56,"S",""))+1)/(LEN(M56)+2)</f>
        <v>0.25</v>
      </c>
      <c r="O56" s="19" t="n">
        <f aca="false">IF(H56="—",IF(L56="Đúng",INDEX('Quy tac'!$B$17:$B$22,2),INDEX('Quy tac'!$B$17:$B$22,1)),IF(L56="Sai",INDEX('Quy tac'!$B$17:$B$22,1),IF(I56&gt;=H56,INDEX('Quy tac'!$B$17:$B$22,MIN(MATCH(H56,'Quy tac'!$B$17:$B$22,0)+1,6)),H56)))</f>
        <v>7</v>
      </c>
      <c r="P56" s="20" t="n">
        <f aca="false">B56+O56</f>
        <v>12.5</v>
      </c>
      <c r="Q56" s="23" t="str">
        <f aca="false">IF(H56="—",IF(L56="Đúng","Lần đầu đúng → 3 ngày","Lần đầu sai → 1 ngày"),IF(L56="Sai","Sai → về 1 ngày",IF(I56&gt;=H56,"Đúng, đến hạn → lên 1 bậc","Đúng nhưng ôn sớm → giữ bậc")))</f>
        <v>Đúng, đến hạn → lên 1 bậc</v>
      </c>
    </row>
    <row r="57" customFormat="false" ht="15" hidden="false" customHeight="false" outlineLevel="0" collapsed="false">
      <c r="A57" s="19" t="n">
        <v>6</v>
      </c>
      <c r="B57" s="20" t="n">
        <v>5.5</v>
      </c>
      <c r="C57" s="19" t="n">
        <v>6</v>
      </c>
      <c r="D57" s="19" t="s">
        <v>64</v>
      </c>
      <c r="E57" s="19" t="s">
        <v>82</v>
      </c>
      <c r="F57" s="21" t="s">
        <v>84</v>
      </c>
      <c r="G57" s="22" t="n">
        <f aca="false">IF(F57="—","—",(LEN(F57)-LEN(SUBSTITUTE(F57,"S",""))+1)/(LEN(F57)+2))</f>
        <v>0.333333333333333</v>
      </c>
      <c r="H57" s="21" t="n">
        <v>3</v>
      </c>
      <c r="I57" s="21" t="n">
        <v>4.5</v>
      </c>
      <c r="J57" s="22" t="n">
        <f aca="false">IF(H57="—","—",'Quy tac'!$B$5^(I57/H57))</f>
        <v>0.853814968245462</v>
      </c>
      <c r="K57" s="19" t="str">
        <f aca="false">IF(H57="—","Câu mới",IF(I57&gt;=H57,"Có","Chưa"))</f>
        <v>Có</v>
      </c>
      <c r="L57" s="21" t="s">
        <v>58</v>
      </c>
      <c r="M57" s="19" t="str">
        <f aca="false">RIGHT(IF(F57="—","",F57)&amp;IF(L57="Đúng","Đ","S"),'Quy tac'!$B$7)</f>
        <v>ĐS</v>
      </c>
      <c r="N57" s="22" t="n">
        <f aca="false">(LEN(M57)-LEN(SUBSTITUTE(M57,"S",""))+1)/(LEN(M57)+2)</f>
        <v>0.5</v>
      </c>
      <c r="O57" s="19" t="n">
        <f aca="false">IF(H57="—",IF(L57="Đúng",INDEX('Quy tac'!$B$17:$B$22,2),INDEX('Quy tac'!$B$17:$B$22,1)),IF(L57="Sai",INDEX('Quy tac'!$B$17:$B$22,1),IF(I57&gt;=H57,INDEX('Quy tac'!$B$17:$B$22,MIN(MATCH(H57,'Quy tac'!$B$17:$B$22,0)+1,6)),H57)))</f>
        <v>1</v>
      </c>
      <c r="P57" s="20" t="n">
        <f aca="false">B57+O57</f>
        <v>6.5</v>
      </c>
      <c r="Q57" s="23" t="str">
        <f aca="false">IF(H57="—",IF(L57="Đúng","Lần đầu đúng → 3 ngày","Lần đầu sai → 1 ngày"),IF(L57="Sai","Sai → về 1 ngày",IF(I57&gt;=H57,"Đúng, đến hạn → lên 1 bậc","Đúng nhưng ôn sớm → giữ bậc")))</f>
        <v>Sai → về 1 ngày</v>
      </c>
    </row>
    <row r="58" customFormat="false" ht="15" hidden="false" customHeight="false" outlineLevel="0" collapsed="false">
      <c r="A58" s="19" t="n">
        <v>6</v>
      </c>
      <c r="B58" s="20" t="n">
        <v>5.5</v>
      </c>
      <c r="C58" s="19" t="n">
        <v>7</v>
      </c>
      <c r="D58" s="19" t="s">
        <v>68</v>
      </c>
      <c r="E58" s="19" t="s">
        <v>82</v>
      </c>
      <c r="F58" s="21" t="s">
        <v>84</v>
      </c>
      <c r="G58" s="22" t="n">
        <f aca="false">IF(F58="—","—",(LEN(F58)-LEN(SUBSTITUTE(F58,"S",""))+1)/(LEN(F58)+2))</f>
        <v>0.333333333333333</v>
      </c>
      <c r="H58" s="21" t="n">
        <v>3</v>
      </c>
      <c r="I58" s="21" t="n">
        <v>3.5</v>
      </c>
      <c r="J58" s="22" t="n">
        <f aca="false">IF(H58="—","—",'Quy tac'!$B$5^(I58/H58))</f>
        <v>0.884333874467421</v>
      </c>
      <c r="K58" s="19" t="str">
        <f aca="false">IF(H58="—","Câu mới",IF(I58&gt;=H58,"Có","Chưa"))</f>
        <v>Có</v>
      </c>
      <c r="L58" s="21" t="s">
        <v>58</v>
      </c>
      <c r="M58" s="19" t="str">
        <f aca="false">RIGHT(IF(F58="—","",F58)&amp;IF(L58="Đúng","Đ","S"),'Quy tac'!$B$7)</f>
        <v>ĐS</v>
      </c>
      <c r="N58" s="22" t="n">
        <f aca="false">(LEN(M58)-LEN(SUBSTITUTE(M58,"S",""))+1)/(LEN(M58)+2)</f>
        <v>0.5</v>
      </c>
      <c r="O58" s="19" t="n">
        <f aca="false">IF(H58="—",IF(L58="Đúng",INDEX('Quy tac'!$B$17:$B$22,2),INDEX('Quy tac'!$B$17:$B$22,1)),IF(L58="Sai",INDEX('Quy tac'!$B$17:$B$22,1),IF(I58&gt;=H58,INDEX('Quy tac'!$B$17:$B$22,MIN(MATCH(H58,'Quy tac'!$B$17:$B$22,0)+1,6)),H58)))</f>
        <v>1</v>
      </c>
      <c r="P58" s="20" t="n">
        <f aca="false">B58+O58</f>
        <v>6.5</v>
      </c>
      <c r="Q58" s="23" t="str">
        <f aca="false">IF(H58="—",IF(L58="Đúng","Lần đầu đúng → 3 ngày","Lần đầu sai → 1 ngày"),IF(L58="Sai","Sai → về 1 ngày",IF(I58&gt;=H58,"Đúng, đến hạn → lên 1 bậc","Đúng nhưng ôn sớm → giữ bậc")))</f>
        <v>Sai → về 1 ngày</v>
      </c>
    </row>
    <row r="59" customFormat="false" ht="15" hidden="false" customHeight="false" outlineLevel="0" collapsed="false">
      <c r="A59" s="9" t="n">
        <v>6</v>
      </c>
      <c r="B59" s="10" t="n">
        <v>5.5</v>
      </c>
      <c r="C59" s="9" t="n">
        <v>8</v>
      </c>
      <c r="D59" s="9" t="s">
        <v>95</v>
      </c>
      <c r="E59" s="9" t="s">
        <v>53</v>
      </c>
      <c r="F59" s="11" t="s">
        <v>54</v>
      </c>
      <c r="G59" s="12" t="str">
        <f aca="false">IF(F59="—","—",(LEN(F59)-LEN(SUBSTITUTE(F59,"S",""))+1)/(LEN(F59)+2))</f>
        <v>—</v>
      </c>
      <c r="H59" s="11" t="s">
        <v>54</v>
      </c>
      <c r="I59" s="11" t="s">
        <v>54</v>
      </c>
      <c r="J59" s="12" t="str">
        <f aca="false">IF(H59="—","—",'Quy tac'!$B$5^(I59/H59))</f>
        <v>—</v>
      </c>
      <c r="K59" s="9" t="str">
        <f aca="false">IF(H59="—","Câu mới",IF(I59&gt;=H59,"Có","Chưa"))</f>
        <v>Câu mới</v>
      </c>
      <c r="L59" s="11" t="s">
        <v>55</v>
      </c>
      <c r="M59" s="9" t="str">
        <f aca="false">RIGHT(IF(F59="—","",F59)&amp;IF(L59="Đúng","Đ","S"),'Quy tac'!$B$7)</f>
        <v>Đ</v>
      </c>
      <c r="N59" s="12" t="n">
        <f aca="false">(LEN(M59)-LEN(SUBSTITUTE(M59,"S",""))+1)/(LEN(M59)+2)</f>
        <v>0.333333333333333</v>
      </c>
      <c r="O59" s="9" t="n">
        <f aca="false">IF(H59="—",IF(L59="Đúng",INDEX('Quy tac'!$B$17:$B$22,2),INDEX('Quy tac'!$B$17:$B$22,1)),IF(L59="Sai",INDEX('Quy tac'!$B$17:$B$22,1),IF(I59&gt;=H59,INDEX('Quy tac'!$B$17:$B$22,MIN(MATCH(H59,'Quy tac'!$B$17:$B$22,0)+1,6)),H59)))</f>
        <v>3</v>
      </c>
      <c r="P59" s="10" t="n">
        <f aca="false">B59+O59</f>
        <v>8.5</v>
      </c>
      <c r="Q59" s="13" t="str">
        <f aca="false">IF(H59="—",IF(L59="Đúng","Lần đầu đúng → 3 ngày","Lần đầu sai → 1 ngày"),IF(L59="Sai","Sai → về 1 ngày",IF(I59&gt;=H59,"Đúng, đến hạn → lên 1 bậc","Đúng nhưng ôn sớm → giữ bậc")))</f>
        <v>Lần đầu đúng → 3 ngày</v>
      </c>
    </row>
    <row r="60" customFormat="false" ht="15" hidden="false" customHeight="false" outlineLevel="0" collapsed="false">
      <c r="A60" s="9" t="n">
        <v>6</v>
      </c>
      <c r="B60" s="10" t="n">
        <v>5.5</v>
      </c>
      <c r="C60" s="9" t="n">
        <v>9</v>
      </c>
      <c r="D60" s="9" t="s">
        <v>96</v>
      </c>
      <c r="E60" s="9" t="s">
        <v>53</v>
      </c>
      <c r="F60" s="11" t="s">
        <v>54</v>
      </c>
      <c r="G60" s="12" t="str">
        <f aca="false">IF(F60="—","—",(LEN(F60)-LEN(SUBSTITUTE(F60,"S",""))+1)/(LEN(F60)+2))</f>
        <v>—</v>
      </c>
      <c r="H60" s="11" t="s">
        <v>54</v>
      </c>
      <c r="I60" s="11" t="s">
        <v>54</v>
      </c>
      <c r="J60" s="12" t="str">
        <f aca="false">IF(H60="—","—",'Quy tac'!$B$5^(I60/H60))</f>
        <v>—</v>
      </c>
      <c r="K60" s="9" t="str">
        <f aca="false">IF(H60="—","Câu mới",IF(I60&gt;=H60,"Có","Chưa"))</f>
        <v>Câu mới</v>
      </c>
      <c r="L60" s="11" t="s">
        <v>55</v>
      </c>
      <c r="M60" s="9" t="str">
        <f aca="false">RIGHT(IF(F60="—","",F60)&amp;IF(L60="Đúng","Đ","S"),'Quy tac'!$B$7)</f>
        <v>Đ</v>
      </c>
      <c r="N60" s="12" t="n">
        <f aca="false">(LEN(M60)-LEN(SUBSTITUTE(M60,"S",""))+1)/(LEN(M60)+2)</f>
        <v>0.333333333333333</v>
      </c>
      <c r="O60" s="9" t="n">
        <f aca="false">IF(H60="—",IF(L60="Đúng",INDEX('Quy tac'!$B$17:$B$22,2),INDEX('Quy tac'!$B$17:$B$22,1)),IF(L60="Sai",INDEX('Quy tac'!$B$17:$B$22,1),IF(I60&gt;=H60,INDEX('Quy tac'!$B$17:$B$22,MIN(MATCH(H60,'Quy tac'!$B$17:$B$22,0)+1,6)),H60)))</f>
        <v>3</v>
      </c>
      <c r="P60" s="10" t="n">
        <f aca="false">B60+O60</f>
        <v>8.5</v>
      </c>
      <c r="Q60" s="13" t="str">
        <f aca="false">IF(H60="—",IF(L60="Đúng","Lần đầu đúng → 3 ngày","Lần đầu sai → 1 ngày"),IF(L60="Sai","Sai → về 1 ngày",IF(I60&gt;=H60,"Đúng, đến hạn → lên 1 bậc","Đúng nhưng ôn sớm → giữ bậc")))</f>
        <v>Lần đầu đúng → 3 ngày</v>
      </c>
    </row>
    <row r="61" customFormat="false" ht="15" hidden="false" customHeight="false" outlineLevel="0" collapsed="false">
      <c r="A61" s="9" t="n">
        <v>6</v>
      </c>
      <c r="B61" s="10" t="n">
        <v>5.5</v>
      </c>
      <c r="C61" s="9" t="n">
        <v>10</v>
      </c>
      <c r="D61" s="9" t="s">
        <v>97</v>
      </c>
      <c r="E61" s="9" t="s">
        <v>53</v>
      </c>
      <c r="F61" s="11" t="s">
        <v>54</v>
      </c>
      <c r="G61" s="12" t="str">
        <f aca="false">IF(F61="—","—",(LEN(F61)-LEN(SUBSTITUTE(F61,"S",""))+1)/(LEN(F61)+2))</f>
        <v>—</v>
      </c>
      <c r="H61" s="11" t="s">
        <v>54</v>
      </c>
      <c r="I61" s="11" t="s">
        <v>54</v>
      </c>
      <c r="J61" s="12" t="str">
        <f aca="false">IF(H61="—","—",'Quy tac'!$B$5^(I61/H61))</f>
        <v>—</v>
      </c>
      <c r="K61" s="9" t="str">
        <f aca="false">IF(H61="—","Câu mới",IF(I61&gt;=H61,"Có","Chưa"))</f>
        <v>Câu mới</v>
      </c>
      <c r="L61" s="11" t="s">
        <v>55</v>
      </c>
      <c r="M61" s="9" t="str">
        <f aca="false">RIGHT(IF(F61="—","",F61)&amp;IF(L61="Đúng","Đ","S"),'Quy tac'!$B$7)</f>
        <v>Đ</v>
      </c>
      <c r="N61" s="12" t="n">
        <f aca="false">(LEN(M61)-LEN(SUBSTITUTE(M61,"S",""))+1)/(LEN(M61)+2)</f>
        <v>0.333333333333333</v>
      </c>
      <c r="O61" s="9" t="n">
        <f aca="false">IF(H61="—",IF(L61="Đúng",INDEX('Quy tac'!$B$17:$B$22,2),INDEX('Quy tac'!$B$17:$B$22,1)),IF(L61="Sai",INDEX('Quy tac'!$B$17:$B$22,1),IF(I61&gt;=H61,INDEX('Quy tac'!$B$17:$B$22,MIN(MATCH(H61,'Quy tac'!$B$17:$B$22,0)+1,6)),H61)))</f>
        <v>3</v>
      </c>
      <c r="P61" s="10" t="n">
        <f aca="false">B61+O61</f>
        <v>8.5</v>
      </c>
      <c r="Q61" s="13" t="str">
        <f aca="false">IF(H61="—",IF(L61="Đúng","Lần đầu đúng → 3 ngày","Lần đầu sai → 1 ngày"),IF(L61="Sai","Sai → về 1 ngày",IF(I61&gt;=H61,"Đúng, đến hạn → lên 1 bậc","Đúng nhưng ôn sớm → giữ bậc")))</f>
        <v>Lần đầu đúng → 3 ngày</v>
      </c>
    </row>
    <row r="62" customFormat="false" ht="15" hidden="false" customHeight="false" outlineLevel="0" collapsed="false">
      <c r="A62" s="14" t="n">
        <v>7</v>
      </c>
      <c r="B62" s="15" t="n">
        <v>8</v>
      </c>
      <c r="C62" s="14" t="n">
        <v>1</v>
      </c>
      <c r="D62" s="14" t="s">
        <v>92</v>
      </c>
      <c r="E62" s="14" t="s">
        <v>66</v>
      </c>
      <c r="F62" s="16" t="s">
        <v>67</v>
      </c>
      <c r="G62" s="17" t="n">
        <f aca="false">IF(F62="—","—",(LEN(F62)-LEN(SUBSTITUTE(F62,"S",""))+1)/(LEN(F62)+2))</f>
        <v>0.666666666666667</v>
      </c>
      <c r="H62" s="16" t="n">
        <v>1</v>
      </c>
      <c r="I62" s="16" t="n">
        <v>3</v>
      </c>
      <c r="J62" s="17" t="n">
        <f aca="false">IF(H62="—","—",'Quy tac'!$B$5^(I62/H62))</f>
        <v>0.729</v>
      </c>
      <c r="K62" s="14" t="str">
        <f aca="false">IF(H62="—","Câu mới",IF(I62&gt;=H62,"Có","Chưa"))</f>
        <v>Có</v>
      </c>
      <c r="L62" s="16" t="s">
        <v>55</v>
      </c>
      <c r="M62" s="14" t="str">
        <f aca="false">RIGHT(IF(F62="—","",F62)&amp;IF(L62="Đúng","Đ","S"),'Quy tac'!$B$7)</f>
        <v>SĐ</v>
      </c>
      <c r="N62" s="17" t="n">
        <f aca="false">(LEN(M62)-LEN(SUBSTITUTE(M62,"S",""))+1)/(LEN(M62)+2)</f>
        <v>0.5</v>
      </c>
      <c r="O62" s="14" t="n">
        <f aca="false">IF(H62="—",IF(L62="Đúng",INDEX('Quy tac'!$B$17:$B$22,2),INDEX('Quy tac'!$B$17:$B$22,1)),IF(L62="Sai",INDEX('Quy tac'!$B$17:$B$22,1),IF(I62&gt;=H62,INDEX('Quy tac'!$B$17:$B$22,MIN(MATCH(H62,'Quy tac'!$B$17:$B$22,0)+1,6)),H62)))</f>
        <v>3</v>
      </c>
      <c r="P62" s="15" t="n">
        <f aca="false">B62+O62</f>
        <v>11</v>
      </c>
      <c r="Q62" s="18" t="str">
        <f aca="false">IF(H62="—",IF(L62="Đúng","Lần đầu đúng → 3 ngày","Lần đầu sai → 1 ngày"),IF(L62="Sai","Sai → về 1 ngày",IF(I62&gt;=H62,"Đúng, đến hạn → lên 1 bậc","Đúng nhưng ôn sớm → giữ bậc")))</f>
        <v>Đúng, đến hạn → lên 1 bậc</v>
      </c>
    </row>
    <row r="63" customFormat="false" ht="15" hidden="false" customHeight="false" outlineLevel="0" collapsed="false">
      <c r="A63" s="14" t="n">
        <v>7</v>
      </c>
      <c r="B63" s="15" t="n">
        <v>8</v>
      </c>
      <c r="C63" s="14" t="n">
        <v>2</v>
      </c>
      <c r="D63" s="14" t="s">
        <v>52</v>
      </c>
      <c r="E63" s="14" t="s">
        <v>66</v>
      </c>
      <c r="F63" s="16" t="s">
        <v>98</v>
      </c>
      <c r="G63" s="17" t="n">
        <f aca="false">IF(F63="—","—",(LEN(F63)-LEN(SUBSTITUTE(F63,"S",""))+1)/(LEN(F63)+2))</f>
        <v>0.6</v>
      </c>
      <c r="H63" s="16" t="n">
        <v>1</v>
      </c>
      <c r="I63" s="16" t="n">
        <v>2.5</v>
      </c>
      <c r="J63" s="17" t="n">
        <f aca="false">IF(H63="—","—",'Quy tac'!$B$5^(I63/H63))</f>
        <v>0.768433471420916</v>
      </c>
      <c r="K63" s="14" t="str">
        <f aca="false">IF(H63="—","Câu mới",IF(I63&gt;=H63,"Có","Chưa"))</f>
        <v>Có</v>
      </c>
      <c r="L63" s="16" t="s">
        <v>55</v>
      </c>
      <c r="M63" s="14" t="str">
        <f aca="false">RIGHT(IF(F63="—","",F63)&amp;IF(L63="Đúng","Đ","S"),'Quy tac'!$B$7)</f>
        <v>ĐSSĐ</v>
      </c>
      <c r="N63" s="17" t="n">
        <f aca="false">(LEN(M63)-LEN(SUBSTITUTE(M63,"S",""))+1)/(LEN(M63)+2)</f>
        <v>0.5</v>
      </c>
      <c r="O63" s="14" t="n">
        <f aca="false">IF(H63="—",IF(L63="Đúng",INDEX('Quy tac'!$B$17:$B$22,2),INDEX('Quy tac'!$B$17:$B$22,1)),IF(L63="Sai",INDEX('Quy tac'!$B$17:$B$22,1),IF(I63&gt;=H63,INDEX('Quy tac'!$B$17:$B$22,MIN(MATCH(H63,'Quy tac'!$B$17:$B$22,0)+1,6)),H63)))</f>
        <v>3</v>
      </c>
      <c r="P63" s="15" t="n">
        <f aca="false">B63+O63</f>
        <v>11</v>
      </c>
      <c r="Q63" s="18" t="str">
        <f aca="false">IF(H63="—",IF(L63="Đúng","Lần đầu đúng → 3 ngày","Lần đầu sai → 1 ngày"),IF(L63="Sai","Sai → về 1 ngày",IF(I63&gt;=H63,"Đúng, đến hạn → lên 1 bậc","Đúng nhưng ôn sớm → giữ bậc")))</f>
        <v>Đúng, đến hạn → lên 1 bậc</v>
      </c>
    </row>
    <row r="64" customFormat="false" ht="15" hidden="false" customHeight="false" outlineLevel="0" collapsed="false">
      <c r="A64" s="14" t="n">
        <v>7</v>
      </c>
      <c r="B64" s="15" t="n">
        <v>8</v>
      </c>
      <c r="C64" s="14" t="n">
        <v>3</v>
      </c>
      <c r="D64" s="14" t="s">
        <v>72</v>
      </c>
      <c r="E64" s="14" t="s">
        <v>66</v>
      </c>
      <c r="F64" s="16" t="s">
        <v>83</v>
      </c>
      <c r="G64" s="17" t="n">
        <f aca="false">IF(F64="—","—",(LEN(F64)-LEN(SUBSTITUTE(F64,"S",""))+1)/(LEN(F64)+2))</f>
        <v>0.6</v>
      </c>
      <c r="H64" s="16" t="n">
        <v>1</v>
      </c>
      <c r="I64" s="16" t="n">
        <v>2.5</v>
      </c>
      <c r="J64" s="17" t="n">
        <f aca="false">IF(H64="—","—",'Quy tac'!$B$5^(I64/H64))</f>
        <v>0.768433471420916</v>
      </c>
      <c r="K64" s="14" t="str">
        <f aca="false">IF(H64="—","Câu mới",IF(I64&gt;=H64,"Có","Chưa"))</f>
        <v>Có</v>
      </c>
      <c r="L64" s="16" t="s">
        <v>55</v>
      </c>
      <c r="M64" s="14" t="str">
        <f aca="false">RIGHT(IF(F64="—","",F64)&amp;IF(L64="Đúng","Đ","S"),'Quy tac'!$B$7)</f>
        <v>SĐSĐ</v>
      </c>
      <c r="N64" s="17" t="n">
        <f aca="false">(LEN(M64)-LEN(SUBSTITUTE(M64,"S",""))+1)/(LEN(M64)+2)</f>
        <v>0.5</v>
      </c>
      <c r="O64" s="14" t="n">
        <f aca="false">IF(H64="—",IF(L64="Đúng",INDEX('Quy tac'!$B$17:$B$22,2),INDEX('Quy tac'!$B$17:$B$22,1)),IF(L64="Sai",INDEX('Quy tac'!$B$17:$B$22,1),IF(I64&gt;=H64,INDEX('Quy tac'!$B$17:$B$22,MIN(MATCH(H64,'Quy tac'!$B$17:$B$22,0)+1,6)),H64)))</f>
        <v>3</v>
      </c>
      <c r="P64" s="15" t="n">
        <f aca="false">B64+O64</f>
        <v>11</v>
      </c>
      <c r="Q64" s="18" t="str">
        <f aca="false">IF(H64="—",IF(L64="Đúng","Lần đầu đúng → 3 ngày","Lần đầu sai → 1 ngày"),IF(L64="Sai","Sai → về 1 ngày",IF(I64&gt;=H64,"Đúng, đến hạn → lên 1 bậc","Đúng nhưng ôn sớm → giữ bậc")))</f>
        <v>Đúng, đến hạn → lên 1 bậc</v>
      </c>
    </row>
    <row r="65" customFormat="false" ht="15" hidden="false" customHeight="false" outlineLevel="0" collapsed="false">
      <c r="A65" s="14" t="n">
        <v>7</v>
      </c>
      <c r="B65" s="15" t="n">
        <v>8</v>
      </c>
      <c r="C65" s="14" t="n">
        <v>4</v>
      </c>
      <c r="D65" s="14" t="s">
        <v>57</v>
      </c>
      <c r="E65" s="14" t="s">
        <v>66</v>
      </c>
      <c r="F65" s="16" t="s">
        <v>99</v>
      </c>
      <c r="G65" s="17" t="n">
        <f aca="false">IF(F65="—","—",(LEN(F65)-LEN(SUBSTITUTE(F65,"S",""))+1)/(LEN(F65)+2))</f>
        <v>0.571428571428571</v>
      </c>
      <c r="H65" s="16" t="n">
        <v>3</v>
      </c>
      <c r="I65" s="16" t="n">
        <v>3</v>
      </c>
      <c r="J65" s="17" t="n">
        <f aca="false">IF(H65="—","—",'Quy tac'!$B$5^(I65/H65))</f>
        <v>0.9</v>
      </c>
      <c r="K65" s="14" t="str">
        <f aca="false">IF(H65="—","Câu mới",IF(I65&gt;=H65,"Có","Chưa"))</f>
        <v>Có</v>
      </c>
      <c r="L65" s="16" t="s">
        <v>55</v>
      </c>
      <c r="M65" s="14" t="str">
        <f aca="false">RIGHT(IF(F65="—","",F65)&amp;IF(L65="Đúng","Đ","S"),'Quy tac'!$B$7)</f>
        <v>SSĐĐĐ</v>
      </c>
      <c r="N65" s="17" t="n">
        <f aca="false">(LEN(M65)-LEN(SUBSTITUTE(M65,"S",""))+1)/(LEN(M65)+2)</f>
        <v>0.428571428571429</v>
      </c>
      <c r="O65" s="14" t="n">
        <f aca="false">IF(H65="—",IF(L65="Đúng",INDEX('Quy tac'!$B$17:$B$22,2),INDEX('Quy tac'!$B$17:$B$22,1)),IF(L65="Sai",INDEX('Quy tac'!$B$17:$B$22,1),IF(I65&gt;=H65,INDEX('Quy tac'!$B$17:$B$22,MIN(MATCH(H65,'Quy tac'!$B$17:$B$22,0)+1,6)),H65)))</f>
        <v>7</v>
      </c>
      <c r="P65" s="15" t="n">
        <f aca="false">B65+O65</f>
        <v>15</v>
      </c>
      <c r="Q65" s="18" t="str">
        <f aca="false">IF(H65="—",IF(L65="Đúng","Lần đầu đúng → 3 ngày","Lần đầu sai → 1 ngày"),IF(L65="Sai","Sai → về 1 ngày",IF(I65&gt;=H65,"Đúng, đến hạn → lên 1 bậc","Đúng nhưng ôn sớm → giữ bậc")))</f>
        <v>Đúng, đến hạn → lên 1 bậc</v>
      </c>
    </row>
    <row r="66" customFormat="false" ht="15" hidden="false" customHeight="false" outlineLevel="0" collapsed="false">
      <c r="A66" s="19" t="n">
        <v>7</v>
      </c>
      <c r="B66" s="20" t="n">
        <v>8</v>
      </c>
      <c r="C66" s="19" t="n">
        <v>5</v>
      </c>
      <c r="D66" s="19" t="s">
        <v>59</v>
      </c>
      <c r="E66" s="19" t="s">
        <v>82</v>
      </c>
      <c r="F66" s="21" t="s">
        <v>93</v>
      </c>
      <c r="G66" s="22" t="n">
        <f aca="false">IF(F66="—","—",(LEN(F66)-LEN(SUBSTITUTE(F66,"S",""))+1)/(LEN(F66)+2))</f>
        <v>0.5</v>
      </c>
      <c r="H66" s="21" t="n">
        <v>1</v>
      </c>
      <c r="I66" s="21" t="n">
        <v>3</v>
      </c>
      <c r="J66" s="22" t="n">
        <f aca="false">IF(H66="—","—",'Quy tac'!$B$5^(I66/H66))</f>
        <v>0.729</v>
      </c>
      <c r="K66" s="19" t="str">
        <f aca="false">IF(H66="—","Câu mới",IF(I66&gt;=H66,"Có","Chưa"))</f>
        <v>Có</v>
      </c>
      <c r="L66" s="21" t="s">
        <v>55</v>
      </c>
      <c r="M66" s="19" t="str">
        <f aca="false">RIGHT(IF(F66="—","",F66)&amp;IF(L66="Đúng","Đ","S"),'Quy tac'!$B$7)</f>
        <v>ĐSĐ</v>
      </c>
      <c r="N66" s="22" t="n">
        <f aca="false">(LEN(M66)-LEN(SUBSTITUTE(M66,"S",""))+1)/(LEN(M66)+2)</f>
        <v>0.4</v>
      </c>
      <c r="O66" s="19" t="n">
        <f aca="false">IF(H66="—",IF(L66="Đúng",INDEX('Quy tac'!$B$17:$B$22,2),INDEX('Quy tac'!$B$17:$B$22,1)),IF(L66="Sai",INDEX('Quy tac'!$B$17:$B$22,1),IF(I66&gt;=H66,INDEX('Quy tac'!$B$17:$B$22,MIN(MATCH(H66,'Quy tac'!$B$17:$B$22,0)+1,6)),H66)))</f>
        <v>3</v>
      </c>
      <c r="P66" s="20" t="n">
        <f aca="false">B66+O66</f>
        <v>11</v>
      </c>
      <c r="Q66" s="23" t="str">
        <f aca="false">IF(H66="—",IF(L66="Đúng","Lần đầu đúng → 3 ngày","Lần đầu sai → 1 ngày"),IF(L66="Sai","Sai → về 1 ngày",IF(I66&gt;=H66,"Đúng, đến hạn → lên 1 bậc","Đúng nhưng ôn sớm → giữ bậc")))</f>
        <v>Đúng, đến hạn → lên 1 bậc</v>
      </c>
    </row>
    <row r="67" customFormat="false" ht="15" hidden="false" customHeight="false" outlineLevel="0" collapsed="false">
      <c r="A67" s="19" t="n">
        <v>7</v>
      </c>
      <c r="B67" s="20" t="n">
        <v>8</v>
      </c>
      <c r="C67" s="19" t="n">
        <v>6</v>
      </c>
      <c r="D67" s="19" t="s">
        <v>61</v>
      </c>
      <c r="E67" s="19" t="s">
        <v>82</v>
      </c>
      <c r="F67" s="21" t="s">
        <v>93</v>
      </c>
      <c r="G67" s="22" t="n">
        <f aca="false">IF(F67="—","—",(LEN(F67)-LEN(SUBSTITUTE(F67,"S",""))+1)/(LEN(F67)+2))</f>
        <v>0.5</v>
      </c>
      <c r="H67" s="21" t="n">
        <v>1</v>
      </c>
      <c r="I67" s="21" t="n">
        <v>3</v>
      </c>
      <c r="J67" s="22" t="n">
        <f aca="false">IF(H67="—","—",'Quy tac'!$B$5^(I67/H67))</f>
        <v>0.729</v>
      </c>
      <c r="K67" s="19" t="str">
        <f aca="false">IF(H67="—","Câu mới",IF(I67&gt;=H67,"Có","Chưa"))</f>
        <v>Có</v>
      </c>
      <c r="L67" s="21" t="s">
        <v>55</v>
      </c>
      <c r="M67" s="19" t="str">
        <f aca="false">RIGHT(IF(F67="—","",F67)&amp;IF(L67="Đúng","Đ","S"),'Quy tac'!$B$7)</f>
        <v>ĐSĐ</v>
      </c>
      <c r="N67" s="22" t="n">
        <f aca="false">(LEN(M67)-LEN(SUBSTITUTE(M67,"S",""))+1)/(LEN(M67)+2)</f>
        <v>0.4</v>
      </c>
      <c r="O67" s="19" t="n">
        <f aca="false">IF(H67="—",IF(L67="Đúng",INDEX('Quy tac'!$B$17:$B$22,2),INDEX('Quy tac'!$B$17:$B$22,1)),IF(L67="Sai",INDEX('Quy tac'!$B$17:$B$22,1),IF(I67&gt;=H67,INDEX('Quy tac'!$B$17:$B$22,MIN(MATCH(H67,'Quy tac'!$B$17:$B$22,0)+1,6)),H67)))</f>
        <v>3</v>
      </c>
      <c r="P67" s="20" t="n">
        <f aca="false">B67+O67</f>
        <v>11</v>
      </c>
      <c r="Q67" s="23" t="str">
        <f aca="false">IF(H67="—",IF(L67="Đúng","Lần đầu đúng → 3 ngày","Lần đầu sai → 1 ngày"),IF(L67="Sai","Sai → về 1 ngày",IF(I67&gt;=H67,"Đúng, đến hạn → lên 1 bậc","Đúng nhưng ôn sớm → giữ bậc")))</f>
        <v>Đúng, đến hạn → lên 1 bậc</v>
      </c>
    </row>
    <row r="68" customFormat="false" ht="15" hidden="false" customHeight="false" outlineLevel="0" collapsed="false">
      <c r="A68" s="19" t="n">
        <v>7</v>
      </c>
      <c r="B68" s="20" t="n">
        <v>8</v>
      </c>
      <c r="C68" s="19" t="n">
        <v>7</v>
      </c>
      <c r="D68" s="19" t="s">
        <v>62</v>
      </c>
      <c r="E68" s="19" t="s">
        <v>82</v>
      </c>
      <c r="F68" s="21" t="s">
        <v>93</v>
      </c>
      <c r="G68" s="22" t="n">
        <f aca="false">IF(F68="—","—",(LEN(F68)-LEN(SUBSTITUTE(F68,"S",""))+1)/(LEN(F68)+2))</f>
        <v>0.5</v>
      </c>
      <c r="H68" s="21" t="n">
        <v>1</v>
      </c>
      <c r="I68" s="21" t="n">
        <v>3</v>
      </c>
      <c r="J68" s="22" t="n">
        <f aca="false">IF(H68="—","—",'Quy tac'!$B$5^(I68/H68))</f>
        <v>0.729</v>
      </c>
      <c r="K68" s="19" t="str">
        <f aca="false">IF(H68="—","Câu mới",IF(I68&gt;=H68,"Có","Chưa"))</f>
        <v>Có</v>
      </c>
      <c r="L68" s="21" t="s">
        <v>55</v>
      </c>
      <c r="M68" s="19" t="str">
        <f aca="false">RIGHT(IF(F68="—","",F68)&amp;IF(L68="Đúng","Đ","S"),'Quy tac'!$B$7)</f>
        <v>ĐSĐ</v>
      </c>
      <c r="N68" s="22" t="n">
        <f aca="false">(LEN(M68)-LEN(SUBSTITUTE(M68,"S",""))+1)/(LEN(M68)+2)</f>
        <v>0.4</v>
      </c>
      <c r="O68" s="19" t="n">
        <f aca="false">IF(H68="—",IF(L68="Đúng",INDEX('Quy tac'!$B$17:$B$22,2),INDEX('Quy tac'!$B$17:$B$22,1)),IF(L68="Sai",INDEX('Quy tac'!$B$17:$B$22,1),IF(I68&gt;=H68,INDEX('Quy tac'!$B$17:$B$22,MIN(MATCH(H68,'Quy tac'!$B$17:$B$22,0)+1,6)),H68)))</f>
        <v>3</v>
      </c>
      <c r="P68" s="20" t="n">
        <f aca="false">B68+O68</f>
        <v>11</v>
      </c>
      <c r="Q68" s="23" t="str">
        <f aca="false">IF(H68="—",IF(L68="Đúng","Lần đầu đúng → 3 ngày","Lần đầu sai → 1 ngày"),IF(L68="Sai","Sai → về 1 ngày",IF(I68&gt;=H68,"Đúng, đến hạn → lên 1 bậc","Đúng nhưng ôn sớm → giữ bậc")))</f>
        <v>Đúng, đến hạn → lên 1 bậc</v>
      </c>
    </row>
    <row r="69" customFormat="false" ht="15" hidden="false" customHeight="false" outlineLevel="0" collapsed="false">
      <c r="A69" s="9" t="n">
        <v>7</v>
      </c>
      <c r="B69" s="10" t="n">
        <v>8</v>
      </c>
      <c r="C69" s="9" t="n">
        <v>8</v>
      </c>
      <c r="D69" s="9" t="s">
        <v>100</v>
      </c>
      <c r="E69" s="9" t="s">
        <v>53</v>
      </c>
      <c r="F69" s="11" t="s">
        <v>54</v>
      </c>
      <c r="G69" s="12" t="str">
        <f aca="false">IF(F69="—","—",(LEN(F69)-LEN(SUBSTITUTE(F69,"S",""))+1)/(LEN(F69)+2))</f>
        <v>—</v>
      </c>
      <c r="H69" s="11" t="s">
        <v>54</v>
      </c>
      <c r="I69" s="11" t="s">
        <v>54</v>
      </c>
      <c r="J69" s="12" t="str">
        <f aca="false">IF(H69="—","—",'Quy tac'!$B$5^(I69/H69))</f>
        <v>—</v>
      </c>
      <c r="K69" s="9" t="str">
        <f aca="false">IF(H69="—","Câu mới",IF(I69&gt;=H69,"Có","Chưa"))</f>
        <v>Câu mới</v>
      </c>
      <c r="L69" s="11" t="s">
        <v>55</v>
      </c>
      <c r="M69" s="9" t="str">
        <f aca="false">RIGHT(IF(F69="—","",F69)&amp;IF(L69="Đúng","Đ","S"),'Quy tac'!$B$7)</f>
        <v>Đ</v>
      </c>
      <c r="N69" s="12" t="n">
        <f aca="false">(LEN(M69)-LEN(SUBSTITUTE(M69,"S",""))+1)/(LEN(M69)+2)</f>
        <v>0.333333333333333</v>
      </c>
      <c r="O69" s="9" t="n">
        <f aca="false">IF(H69="—",IF(L69="Đúng",INDEX('Quy tac'!$B$17:$B$22,2),INDEX('Quy tac'!$B$17:$B$22,1)),IF(L69="Sai",INDEX('Quy tac'!$B$17:$B$22,1),IF(I69&gt;=H69,INDEX('Quy tac'!$B$17:$B$22,MIN(MATCH(H69,'Quy tac'!$B$17:$B$22,0)+1,6)),H69)))</f>
        <v>3</v>
      </c>
      <c r="P69" s="10" t="n">
        <f aca="false">B69+O69</f>
        <v>11</v>
      </c>
      <c r="Q69" s="13" t="str">
        <f aca="false">IF(H69="—",IF(L69="Đúng","Lần đầu đúng → 3 ngày","Lần đầu sai → 1 ngày"),IF(L69="Sai","Sai → về 1 ngày",IF(I69&gt;=H69,"Đúng, đến hạn → lên 1 bậc","Đúng nhưng ôn sớm → giữ bậc")))</f>
        <v>Lần đầu đúng → 3 ngày</v>
      </c>
    </row>
    <row r="70" customFormat="false" ht="15" hidden="false" customHeight="false" outlineLevel="0" collapsed="false">
      <c r="A70" s="9" t="n">
        <v>7</v>
      </c>
      <c r="B70" s="10" t="n">
        <v>8</v>
      </c>
      <c r="C70" s="9" t="n">
        <v>9</v>
      </c>
      <c r="D70" s="9" t="s">
        <v>101</v>
      </c>
      <c r="E70" s="9" t="s">
        <v>53</v>
      </c>
      <c r="F70" s="11" t="s">
        <v>54</v>
      </c>
      <c r="G70" s="12" t="str">
        <f aca="false">IF(F70="—","—",(LEN(F70)-LEN(SUBSTITUTE(F70,"S",""))+1)/(LEN(F70)+2))</f>
        <v>—</v>
      </c>
      <c r="H70" s="11" t="s">
        <v>54</v>
      </c>
      <c r="I70" s="11" t="s">
        <v>54</v>
      </c>
      <c r="J70" s="12" t="str">
        <f aca="false">IF(H70="—","—",'Quy tac'!$B$5^(I70/H70))</f>
        <v>—</v>
      </c>
      <c r="K70" s="9" t="str">
        <f aca="false">IF(H70="—","Câu mới",IF(I70&gt;=H70,"Có","Chưa"))</f>
        <v>Câu mới</v>
      </c>
      <c r="L70" s="11" t="s">
        <v>55</v>
      </c>
      <c r="M70" s="9" t="str">
        <f aca="false">RIGHT(IF(F70="—","",F70)&amp;IF(L70="Đúng","Đ","S"),'Quy tac'!$B$7)</f>
        <v>Đ</v>
      </c>
      <c r="N70" s="12" t="n">
        <f aca="false">(LEN(M70)-LEN(SUBSTITUTE(M70,"S",""))+1)/(LEN(M70)+2)</f>
        <v>0.333333333333333</v>
      </c>
      <c r="O70" s="9" t="n">
        <f aca="false">IF(H70="—",IF(L70="Đúng",INDEX('Quy tac'!$B$17:$B$22,2),INDEX('Quy tac'!$B$17:$B$22,1)),IF(L70="Sai",INDEX('Quy tac'!$B$17:$B$22,1),IF(I70&gt;=H70,INDEX('Quy tac'!$B$17:$B$22,MIN(MATCH(H70,'Quy tac'!$B$17:$B$22,0)+1,6)),H70)))</f>
        <v>3</v>
      </c>
      <c r="P70" s="10" t="n">
        <f aca="false">B70+O70</f>
        <v>11</v>
      </c>
      <c r="Q70" s="13" t="str">
        <f aca="false">IF(H70="—",IF(L70="Đúng","Lần đầu đúng → 3 ngày","Lần đầu sai → 1 ngày"),IF(L70="Sai","Sai → về 1 ngày",IF(I70&gt;=H70,"Đúng, đến hạn → lên 1 bậc","Đúng nhưng ôn sớm → giữ bậc")))</f>
        <v>Lần đầu đúng → 3 ngày</v>
      </c>
    </row>
    <row r="71" customFormat="false" ht="15" hidden="false" customHeight="false" outlineLevel="0" collapsed="false">
      <c r="A71" s="9" t="n">
        <v>7</v>
      </c>
      <c r="B71" s="10" t="n">
        <v>8</v>
      </c>
      <c r="C71" s="9" t="n">
        <v>10</v>
      </c>
      <c r="D71" s="9" t="s">
        <v>102</v>
      </c>
      <c r="E71" s="9" t="s">
        <v>53</v>
      </c>
      <c r="F71" s="11" t="s">
        <v>54</v>
      </c>
      <c r="G71" s="12" t="str">
        <f aca="false">IF(F71="—","—",(LEN(F71)-LEN(SUBSTITUTE(F71,"S",""))+1)/(LEN(F71)+2))</f>
        <v>—</v>
      </c>
      <c r="H71" s="11" t="s">
        <v>54</v>
      </c>
      <c r="I71" s="11" t="s">
        <v>54</v>
      </c>
      <c r="J71" s="12" t="str">
        <f aca="false">IF(H71="—","—",'Quy tac'!$B$5^(I71/H71))</f>
        <v>—</v>
      </c>
      <c r="K71" s="9" t="str">
        <f aca="false">IF(H71="—","Câu mới",IF(I71&gt;=H71,"Có","Chưa"))</f>
        <v>Câu mới</v>
      </c>
      <c r="L71" s="11" t="s">
        <v>58</v>
      </c>
      <c r="M71" s="9" t="str">
        <f aca="false">RIGHT(IF(F71="—","",F71)&amp;IF(L71="Đúng","Đ","S"),'Quy tac'!$B$7)</f>
        <v>S</v>
      </c>
      <c r="N71" s="12" t="n">
        <f aca="false">(LEN(M71)-LEN(SUBSTITUTE(M71,"S",""))+1)/(LEN(M71)+2)</f>
        <v>0.666666666666667</v>
      </c>
      <c r="O71" s="9" t="n">
        <f aca="false">IF(H71="—",IF(L71="Đúng",INDEX('Quy tac'!$B$17:$B$22,2),INDEX('Quy tac'!$B$17:$B$22,1)),IF(L71="Sai",INDEX('Quy tac'!$B$17:$B$22,1),IF(I71&gt;=H71,INDEX('Quy tac'!$B$17:$B$22,MIN(MATCH(H71,'Quy tac'!$B$17:$B$22,0)+1,6)),H71)))</f>
        <v>1</v>
      </c>
      <c r="P71" s="10" t="n">
        <f aca="false">B71+O71</f>
        <v>9</v>
      </c>
      <c r="Q71" s="13" t="str">
        <f aca="false">IF(H71="—",IF(L71="Đúng","Lần đầu đúng → 3 ngày","Lần đầu sai → 1 ngày"),IF(L71="Sai","Sai → về 1 ngày",IF(I71&gt;=H71,"Đúng, đến hạn → lên 1 bậc","Đúng nhưng ôn sớm → giữ bậc")))</f>
        <v>Lần đầu sai → 1 ngày</v>
      </c>
    </row>
    <row r="72" customFormat="false" ht="15" hidden="false" customHeight="false" outlineLevel="0" collapsed="false">
      <c r="A72" s="14" t="n">
        <v>8</v>
      </c>
      <c r="B72" s="15" t="n">
        <v>10</v>
      </c>
      <c r="C72" s="14" t="n">
        <v>1</v>
      </c>
      <c r="D72" s="14" t="s">
        <v>102</v>
      </c>
      <c r="E72" s="14" t="s">
        <v>66</v>
      </c>
      <c r="F72" s="16" t="s">
        <v>67</v>
      </c>
      <c r="G72" s="17" t="n">
        <f aca="false">IF(F72="—","—",(LEN(F72)-LEN(SUBSTITUTE(F72,"S",""))+1)/(LEN(F72)+2))</f>
        <v>0.666666666666667</v>
      </c>
      <c r="H72" s="16" t="n">
        <v>1</v>
      </c>
      <c r="I72" s="16" t="n">
        <v>2</v>
      </c>
      <c r="J72" s="17" t="n">
        <f aca="false">IF(H72="—","—",'Quy tac'!$B$5^(I72/H72))</f>
        <v>0.81</v>
      </c>
      <c r="K72" s="14" t="str">
        <f aca="false">IF(H72="—","Câu mới",IF(I72&gt;=H72,"Có","Chưa"))</f>
        <v>Có</v>
      </c>
      <c r="L72" s="16" t="s">
        <v>55</v>
      </c>
      <c r="M72" s="14" t="str">
        <f aca="false">RIGHT(IF(F72="—","",F72)&amp;IF(L72="Đúng","Đ","S"),'Quy tac'!$B$7)</f>
        <v>SĐ</v>
      </c>
      <c r="N72" s="17" t="n">
        <f aca="false">(LEN(M72)-LEN(SUBSTITUTE(M72,"S",""))+1)/(LEN(M72)+2)</f>
        <v>0.5</v>
      </c>
      <c r="O72" s="14" t="n">
        <f aca="false">IF(H72="—",IF(L72="Đúng",INDEX('Quy tac'!$B$17:$B$22,2),INDEX('Quy tac'!$B$17:$B$22,1)),IF(L72="Sai",INDEX('Quy tac'!$B$17:$B$22,1),IF(I72&gt;=H72,INDEX('Quy tac'!$B$17:$B$22,MIN(MATCH(H72,'Quy tac'!$B$17:$B$22,0)+1,6)),H72)))</f>
        <v>3</v>
      </c>
      <c r="P72" s="15" t="n">
        <f aca="false">B72+O72</f>
        <v>13</v>
      </c>
      <c r="Q72" s="18" t="str">
        <f aca="false">IF(H72="—",IF(L72="Đúng","Lần đầu đúng → 3 ngày","Lần đầu sai → 1 ngày"),IF(L72="Sai","Sai → về 1 ngày",IF(I72&gt;=H72,"Đúng, đến hạn → lên 1 bậc","Đúng nhưng ôn sớm → giữ bậc")))</f>
        <v>Đúng, đến hạn → lên 1 bậc</v>
      </c>
    </row>
    <row r="73" customFormat="false" ht="15" hidden="false" customHeight="false" outlineLevel="0" collapsed="false">
      <c r="A73" s="14" t="n">
        <v>8</v>
      </c>
      <c r="B73" s="15" t="n">
        <v>10</v>
      </c>
      <c r="C73" s="14" t="n">
        <v>2</v>
      </c>
      <c r="D73" s="14" t="s">
        <v>64</v>
      </c>
      <c r="E73" s="14" t="s">
        <v>66</v>
      </c>
      <c r="F73" s="16" t="s">
        <v>93</v>
      </c>
      <c r="G73" s="17" t="n">
        <f aca="false">IF(F73="—","—",(LEN(F73)-LEN(SUBSTITUTE(F73,"S",""))+1)/(LEN(F73)+2))</f>
        <v>0.5</v>
      </c>
      <c r="H73" s="16" t="n">
        <v>1</v>
      </c>
      <c r="I73" s="16" t="n">
        <v>4.5</v>
      </c>
      <c r="J73" s="17" t="n">
        <f aca="false">IF(H73="—","—",'Quy tac'!$B$5^(I73/H73))</f>
        <v>0.622431111850942</v>
      </c>
      <c r="K73" s="14" t="str">
        <f aca="false">IF(H73="—","Câu mới",IF(I73&gt;=H73,"Có","Chưa"))</f>
        <v>Có</v>
      </c>
      <c r="L73" s="16" t="s">
        <v>58</v>
      </c>
      <c r="M73" s="14" t="str">
        <f aca="false">RIGHT(IF(F73="—","",F73)&amp;IF(L73="Đúng","Đ","S"),'Quy tac'!$B$7)</f>
        <v>ĐSS</v>
      </c>
      <c r="N73" s="17" t="n">
        <f aca="false">(LEN(M73)-LEN(SUBSTITUTE(M73,"S",""))+1)/(LEN(M73)+2)</f>
        <v>0.6</v>
      </c>
      <c r="O73" s="14" t="n">
        <f aca="false">IF(H73="—",IF(L73="Đúng",INDEX('Quy tac'!$B$17:$B$22,2),INDEX('Quy tac'!$B$17:$B$22,1)),IF(L73="Sai",INDEX('Quy tac'!$B$17:$B$22,1),IF(I73&gt;=H73,INDEX('Quy tac'!$B$17:$B$22,MIN(MATCH(H73,'Quy tac'!$B$17:$B$22,0)+1,6)),H73)))</f>
        <v>1</v>
      </c>
      <c r="P73" s="15" t="n">
        <f aca="false">B73+O73</f>
        <v>11</v>
      </c>
      <c r="Q73" s="18" t="str">
        <f aca="false">IF(H73="—",IF(L73="Đúng","Lần đầu đúng → 3 ngày","Lần đầu sai → 1 ngày"),IF(L73="Sai","Sai → về 1 ngày",IF(I73&gt;=H73,"Đúng, đến hạn → lên 1 bậc","Đúng nhưng ôn sớm → giữ bậc")))</f>
        <v>Sai → về 1 ngày</v>
      </c>
    </row>
    <row r="74" customFormat="false" ht="15" hidden="false" customHeight="false" outlineLevel="0" collapsed="false">
      <c r="A74" s="14" t="n">
        <v>8</v>
      </c>
      <c r="B74" s="15" t="n">
        <v>10</v>
      </c>
      <c r="C74" s="14" t="n">
        <v>3</v>
      </c>
      <c r="D74" s="14" t="s">
        <v>68</v>
      </c>
      <c r="E74" s="14" t="s">
        <v>66</v>
      </c>
      <c r="F74" s="16" t="s">
        <v>93</v>
      </c>
      <c r="G74" s="17" t="n">
        <f aca="false">IF(F74="—","—",(LEN(F74)-LEN(SUBSTITUTE(F74,"S",""))+1)/(LEN(F74)+2))</f>
        <v>0.5</v>
      </c>
      <c r="H74" s="16" t="n">
        <v>1</v>
      </c>
      <c r="I74" s="16" t="n">
        <v>4.5</v>
      </c>
      <c r="J74" s="17" t="n">
        <f aca="false">IF(H74="—","—",'Quy tac'!$B$5^(I74/H74))</f>
        <v>0.622431111850942</v>
      </c>
      <c r="K74" s="14" t="str">
        <f aca="false">IF(H74="—","Câu mới",IF(I74&gt;=H74,"Có","Chưa"))</f>
        <v>Có</v>
      </c>
      <c r="L74" s="16" t="s">
        <v>55</v>
      </c>
      <c r="M74" s="14" t="str">
        <f aca="false">RIGHT(IF(F74="—","",F74)&amp;IF(L74="Đúng","Đ","S"),'Quy tac'!$B$7)</f>
        <v>ĐSĐ</v>
      </c>
      <c r="N74" s="17" t="n">
        <f aca="false">(LEN(M74)-LEN(SUBSTITUTE(M74,"S",""))+1)/(LEN(M74)+2)</f>
        <v>0.4</v>
      </c>
      <c r="O74" s="14" t="n">
        <f aca="false">IF(H74="—",IF(L74="Đúng",INDEX('Quy tac'!$B$17:$B$22,2),INDEX('Quy tac'!$B$17:$B$22,1)),IF(L74="Sai",INDEX('Quy tac'!$B$17:$B$22,1),IF(I74&gt;=H74,INDEX('Quy tac'!$B$17:$B$22,MIN(MATCH(H74,'Quy tac'!$B$17:$B$22,0)+1,6)),H74)))</f>
        <v>3</v>
      </c>
      <c r="P74" s="15" t="n">
        <f aca="false">B74+O74</f>
        <v>13</v>
      </c>
      <c r="Q74" s="18" t="str">
        <f aca="false">IF(H74="—",IF(L74="Đúng","Lần đầu đúng → 3 ngày","Lần đầu sai → 1 ngày"),IF(L74="Sai","Sai → về 1 ngày",IF(I74&gt;=H74,"Đúng, đến hạn → lên 1 bậc","Đúng nhưng ôn sớm → giữ bậc")))</f>
        <v>Đúng, đến hạn → lên 1 bậc</v>
      </c>
    </row>
    <row r="75" customFormat="false" ht="15" hidden="false" customHeight="false" outlineLevel="0" collapsed="false">
      <c r="A75" s="14" t="n">
        <v>8</v>
      </c>
      <c r="B75" s="15" t="n">
        <v>10</v>
      </c>
      <c r="C75" s="14" t="n">
        <v>4</v>
      </c>
      <c r="D75" s="14" t="s">
        <v>80</v>
      </c>
      <c r="E75" s="14" t="s">
        <v>66</v>
      </c>
      <c r="F75" s="16" t="s">
        <v>76</v>
      </c>
      <c r="G75" s="17" t="n">
        <f aca="false">IF(F75="—","—",(LEN(F75)-LEN(SUBSTITUTE(F75,"S",""))+1)/(LEN(F75)+2))</f>
        <v>0.5</v>
      </c>
      <c r="H75" s="16" t="n">
        <v>3</v>
      </c>
      <c r="I75" s="16" t="n">
        <v>6</v>
      </c>
      <c r="J75" s="17" t="n">
        <f aca="false">IF(H75="—","—",'Quy tac'!$B$5^(I75/H75))</f>
        <v>0.81</v>
      </c>
      <c r="K75" s="14" t="str">
        <f aca="false">IF(H75="—","Câu mới",IF(I75&gt;=H75,"Có","Chưa"))</f>
        <v>Có</v>
      </c>
      <c r="L75" s="16" t="s">
        <v>55</v>
      </c>
      <c r="M75" s="14" t="str">
        <f aca="false">RIGHT(IF(F75="—","",F75)&amp;IF(L75="Đúng","Đ","S"),'Quy tac'!$B$7)</f>
        <v>SĐĐ</v>
      </c>
      <c r="N75" s="17" t="n">
        <f aca="false">(LEN(M75)-LEN(SUBSTITUTE(M75,"S",""))+1)/(LEN(M75)+2)</f>
        <v>0.4</v>
      </c>
      <c r="O75" s="14" t="n">
        <f aca="false">IF(H75="—",IF(L75="Đúng",INDEX('Quy tac'!$B$17:$B$22,2),INDEX('Quy tac'!$B$17:$B$22,1)),IF(L75="Sai",INDEX('Quy tac'!$B$17:$B$22,1),IF(I75&gt;=H75,INDEX('Quy tac'!$B$17:$B$22,MIN(MATCH(H75,'Quy tac'!$B$17:$B$22,0)+1,6)),H75)))</f>
        <v>7</v>
      </c>
      <c r="P75" s="15" t="n">
        <f aca="false">B75+O75</f>
        <v>17</v>
      </c>
      <c r="Q75" s="18" t="str">
        <f aca="false">IF(H75="—",IF(L75="Đúng","Lần đầu đúng → 3 ngày","Lần đầu sai → 1 ngày"),IF(L75="Sai","Sai → về 1 ngày",IF(I75&gt;=H75,"Đúng, đến hạn → lên 1 bậc","Đúng nhưng ôn sớm → giữ bậc")))</f>
        <v>Đúng, đến hạn → lên 1 bậc</v>
      </c>
    </row>
    <row r="76" customFormat="false" ht="15" hidden="false" customHeight="false" outlineLevel="0" collapsed="false">
      <c r="A76" s="19" t="n">
        <v>8</v>
      </c>
      <c r="B76" s="20" t="n">
        <v>10</v>
      </c>
      <c r="C76" s="19" t="n">
        <v>5</v>
      </c>
      <c r="D76" s="19" t="s">
        <v>69</v>
      </c>
      <c r="E76" s="19" t="s">
        <v>82</v>
      </c>
      <c r="F76" s="21" t="s">
        <v>84</v>
      </c>
      <c r="G76" s="22" t="n">
        <f aca="false">IF(F76="—","—",(LEN(F76)-LEN(SUBSTITUTE(F76,"S",""))+1)/(LEN(F76)+2))</f>
        <v>0.333333333333333</v>
      </c>
      <c r="H76" s="21" t="n">
        <v>3</v>
      </c>
      <c r="I76" s="21" t="n">
        <v>8</v>
      </c>
      <c r="J76" s="22" t="n">
        <f aca="false">IF(H76="—","—",'Quy tac'!$B$5^(I76/H76))</f>
        <v>0.755057498946788</v>
      </c>
      <c r="K76" s="19" t="str">
        <f aca="false">IF(H76="—","Câu mới",IF(I76&gt;=H76,"Có","Chưa"))</f>
        <v>Có</v>
      </c>
      <c r="L76" s="21" t="s">
        <v>58</v>
      </c>
      <c r="M76" s="19" t="str">
        <f aca="false">RIGHT(IF(F76="—","",F76)&amp;IF(L76="Đúng","Đ","S"),'Quy tac'!$B$7)</f>
        <v>ĐS</v>
      </c>
      <c r="N76" s="22" t="n">
        <f aca="false">(LEN(M76)-LEN(SUBSTITUTE(M76,"S",""))+1)/(LEN(M76)+2)</f>
        <v>0.5</v>
      </c>
      <c r="O76" s="19" t="n">
        <f aca="false">IF(H76="—",IF(L76="Đúng",INDEX('Quy tac'!$B$17:$B$22,2),INDEX('Quy tac'!$B$17:$B$22,1)),IF(L76="Sai",INDEX('Quy tac'!$B$17:$B$22,1),IF(I76&gt;=H76,INDEX('Quy tac'!$B$17:$B$22,MIN(MATCH(H76,'Quy tac'!$B$17:$B$22,0)+1,6)),H76)))</f>
        <v>1</v>
      </c>
      <c r="P76" s="20" t="n">
        <f aca="false">B76+O76</f>
        <v>11</v>
      </c>
      <c r="Q76" s="23" t="str">
        <f aca="false">IF(H76="—",IF(L76="Đúng","Lần đầu đúng → 3 ngày","Lần đầu sai → 1 ngày"),IF(L76="Sai","Sai → về 1 ngày",IF(I76&gt;=H76,"Đúng, đến hạn → lên 1 bậc","Đúng nhưng ôn sớm → giữ bậc")))</f>
        <v>Sai → về 1 ngày</v>
      </c>
    </row>
    <row r="77" customFormat="false" ht="15" hidden="false" customHeight="false" outlineLevel="0" collapsed="false">
      <c r="A77" s="19" t="n">
        <v>8</v>
      </c>
      <c r="B77" s="20" t="n">
        <v>10</v>
      </c>
      <c r="C77" s="19" t="n">
        <v>6</v>
      </c>
      <c r="D77" s="19" t="s">
        <v>70</v>
      </c>
      <c r="E77" s="19" t="s">
        <v>82</v>
      </c>
      <c r="F77" s="21" t="s">
        <v>84</v>
      </c>
      <c r="G77" s="22" t="n">
        <f aca="false">IF(F77="—","—",(LEN(F77)-LEN(SUBSTITUTE(F77,"S",""))+1)/(LEN(F77)+2))</f>
        <v>0.333333333333333</v>
      </c>
      <c r="H77" s="21" t="n">
        <v>3</v>
      </c>
      <c r="I77" s="21" t="n">
        <v>8</v>
      </c>
      <c r="J77" s="22" t="n">
        <f aca="false">IF(H77="—","—",'Quy tac'!$B$5^(I77/H77))</f>
        <v>0.755057498946788</v>
      </c>
      <c r="K77" s="19" t="str">
        <f aca="false">IF(H77="—","Câu mới",IF(I77&gt;=H77,"Có","Chưa"))</f>
        <v>Có</v>
      </c>
      <c r="L77" s="21" t="s">
        <v>58</v>
      </c>
      <c r="M77" s="19" t="str">
        <f aca="false">RIGHT(IF(F77="—","",F77)&amp;IF(L77="Đúng","Đ","S"),'Quy tac'!$B$7)</f>
        <v>ĐS</v>
      </c>
      <c r="N77" s="22" t="n">
        <f aca="false">(LEN(M77)-LEN(SUBSTITUTE(M77,"S",""))+1)/(LEN(M77)+2)</f>
        <v>0.5</v>
      </c>
      <c r="O77" s="19" t="n">
        <f aca="false">IF(H77="—",IF(L77="Đúng",INDEX('Quy tac'!$B$17:$B$22,2),INDEX('Quy tac'!$B$17:$B$22,1)),IF(L77="Sai",INDEX('Quy tac'!$B$17:$B$22,1),IF(I77&gt;=H77,INDEX('Quy tac'!$B$17:$B$22,MIN(MATCH(H77,'Quy tac'!$B$17:$B$22,0)+1,6)),H77)))</f>
        <v>1</v>
      </c>
      <c r="P77" s="20" t="n">
        <f aca="false">B77+O77</f>
        <v>11</v>
      </c>
      <c r="Q77" s="23" t="str">
        <f aca="false">IF(H77="—",IF(L77="Đúng","Lần đầu đúng → 3 ngày","Lần đầu sai → 1 ngày"),IF(L77="Sai","Sai → về 1 ngày",IF(I77&gt;=H77,"Đúng, đến hạn → lên 1 bậc","Đúng nhưng ôn sớm → giữ bậc")))</f>
        <v>Sai → về 1 ngày</v>
      </c>
    </row>
    <row r="78" customFormat="false" ht="15" hidden="false" customHeight="false" outlineLevel="0" collapsed="false">
      <c r="A78" s="19" t="n">
        <v>8</v>
      </c>
      <c r="B78" s="20" t="n">
        <v>10</v>
      </c>
      <c r="C78" s="19" t="n">
        <v>7</v>
      </c>
      <c r="D78" s="19" t="s">
        <v>73</v>
      </c>
      <c r="E78" s="19" t="s">
        <v>82</v>
      </c>
      <c r="F78" s="21" t="s">
        <v>84</v>
      </c>
      <c r="G78" s="22" t="n">
        <f aca="false">IF(F78="—","—",(LEN(F78)-LEN(SUBSTITUTE(F78,"S",""))+1)/(LEN(F78)+2))</f>
        <v>0.333333333333333</v>
      </c>
      <c r="H78" s="21" t="n">
        <v>3</v>
      </c>
      <c r="I78" s="21" t="n">
        <v>8</v>
      </c>
      <c r="J78" s="22" t="n">
        <f aca="false">IF(H78="—","—",'Quy tac'!$B$5^(I78/H78))</f>
        <v>0.755057498946788</v>
      </c>
      <c r="K78" s="19" t="str">
        <f aca="false">IF(H78="—","Câu mới",IF(I78&gt;=H78,"Có","Chưa"))</f>
        <v>Có</v>
      </c>
      <c r="L78" s="21" t="s">
        <v>58</v>
      </c>
      <c r="M78" s="19" t="str">
        <f aca="false">RIGHT(IF(F78="—","",F78)&amp;IF(L78="Đúng","Đ","S"),'Quy tac'!$B$7)</f>
        <v>ĐS</v>
      </c>
      <c r="N78" s="22" t="n">
        <f aca="false">(LEN(M78)-LEN(SUBSTITUTE(M78,"S",""))+1)/(LEN(M78)+2)</f>
        <v>0.5</v>
      </c>
      <c r="O78" s="19" t="n">
        <f aca="false">IF(H78="—",IF(L78="Đúng",INDEX('Quy tac'!$B$17:$B$22,2),INDEX('Quy tac'!$B$17:$B$22,1)),IF(L78="Sai",INDEX('Quy tac'!$B$17:$B$22,1),IF(I78&gt;=H78,INDEX('Quy tac'!$B$17:$B$22,MIN(MATCH(H78,'Quy tac'!$B$17:$B$22,0)+1,6)),H78)))</f>
        <v>1</v>
      </c>
      <c r="P78" s="20" t="n">
        <f aca="false">B78+O78</f>
        <v>11</v>
      </c>
      <c r="Q78" s="23" t="str">
        <f aca="false">IF(H78="—",IF(L78="Đúng","Lần đầu đúng → 3 ngày","Lần đầu sai → 1 ngày"),IF(L78="Sai","Sai → về 1 ngày",IF(I78&gt;=H78,"Đúng, đến hạn → lên 1 bậc","Đúng nhưng ôn sớm → giữ bậc")))</f>
        <v>Sai → về 1 ngày</v>
      </c>
    </row>
    <row r="79" customFormat="false" ht="15" hidden="false" customHeight="false" outlineLevel="0" collapsed="false">
      <c r="A79" s="9" t="n">
        <v>8</v>
      </c>
      <c r="B79" s="10" t="n">
        <v>10</v>
      </c>
      <c r="C79" s="9" t="n">
        <v>8</v>
      </c>
      <c r="D79" s="9" t="s">
        <v>103</v>
      </c>
      <c r="E79" s="9" t="s">
        <v>53</v>
      </c>
      <c r="F79" s="11" t="s">
        <v>54</v>
      </c>
      <c r="G79" s="12" t="str">
        <f aca="false">IF(F79="—","—",(LEN(F79)-LEN(SUBSTITUTE(F79,"S",""))+1)/(LEN(F79)+2))</f>
        <v>—</v>
      </c>
      <c r="H79" s="11" t="s">
        <v>54</v>
      </c>
      <c r="I79" s="11" t="s">
        <v>54</v>
      </c>
      <c r="J79" s="12" t="str">
        <f aca="false">IF(H79="—","—",'Quy tac'!$B$5^(I79/H79))</f>
        <v>—</v>
      </c>
      <c r="K79" s="9" t="str">
        <f aca="false">IF(H79="—","Câu mới",IF(I79&gt;=H79,"Có","Chưa"))</f>
        <v>Câu mới</v>
      </c>
      <c r="L79" s="11" t="s">
        <v>58</v>
      </c>
      <c r="M79" s="9" t="str">
        <f aca="false">RIGHT(IF(F79="—","",F79)&amp;IF(L79="Đúng","Đ","S"),'Quy tac'!$B$7)</f>
        <v>S</v>
      </c>
      <c r="N79" s="12" t="n">
        <f aca="false">(LEN(M79)-LEN(SUBSTITUTE(M79,"S",""))+1)/(LEN(M79)+2)</f>
        <v>0.666666666666667</v>
      </c>
      <c r="O79" s="9" t="n">
        <f aca="false">IF(H79="—",IF(L79="Đúng",INDEX('Quy tac'!$B$17:$B$22,2),INDEX('Quy tac'!$B$17:$B$22,1)),IF(L79="Sai",INDEX('Quy tac'!$B$17:$B$22,1),IF(I79&gt;=H79,INDEX('Quy tac'!$B$17:$B$22,MIN(MATCH(H79,'Quy tac'!$B$17:$B$22,0)+1,6)),H79)))</f>
        <v>1</v>
      </c>
      <c r="P79" s="10" t="n">
        <f aca="false">B79+O79</f>
        <v>11</v>
      </c>
      <c r="Q79" s="13" t="str">
        <f aca="false">IF(H79="—",IF(L79="Đúng","Lần đầu đúng → 3 ngày","Lần đầu sai → 1 ngày"),IF(L79="Sai","Sai → về 1 ngày",IF(I79&gt;=H79,"Đúng, đến hạn → lên 1 bậc","Đúng nhưng ôn sớm → giữ bậc")))</f>
        <v>Lần đầu sai → 1 ngày</v>
      </c>
    </row>
    <row r="80" customFormat="false" ht="15" hidden="false" customHeight="false" outlineLevel="0" collapsed="false">
      <c r="A80" s="9" t="n">
        <v>8</v>
      </c>
      <c r="B80" s="10" t="n">
        <v>10</v>
      </c>
      <c r="C80" s="9" t="n">
        <v>9</v>
      </c>
      <c r="D80" s="9" t="s">
        <v>104</v>
      </c>
      <c r="E80" s="9" t="s">
        <v>53</v>
      </c>
      <c r="F80" s="11" t="s">
        <v>54</v>
      </c>
      <c r="G80" s="12" t="str">
        <f aca="false">IF(F80="—","—",(LEN(F80)-LEN(SUBSTITUTE(F80,"S",""))+1)/(LEN(F80)+2))</f>
        <v>—</v>
      </c>
      <c r="H80" s="11" t="s">
        <v>54</v>
      </c>
      <c r="I80" s="11" t="s">
        <v>54</v>
      </c>
      <c r="J80" s="12" t="str">
        <f aca="false">IF(H80="—","—",'Quy tac'!$B$5^(I80/H80))</f>
        <v>—</v>
      </c>
      <c r="K80" s="9" t="str">
        <f aca="false">IF(H80="—","Câu mới",IF(I80&gt;=H80,"Có","Chưa"))</f>
        <v>Câu mới</v>
      </c>
      <c r="L80" s="11" t="s">
        <v>55</v>
      </c>
      <c r="M80" s="9" t="str">
        <f aca="false">RIGHT(IF(F80="—","",F80)&amp;IF(L80="Đúng","Đ","S"),'Quy tac'!$B$7)</f>
        <v>Đ</v>
      </c>
      <c r="N80" s="12" t="n">
        <f aca="false">(LEN(M80)-LEN(SUBSTITUTE(M80,"S",""))+1)/(LEN(M80)+2)</f>
        <v>0.333333333333333</v>
      </c>
      <c r="O80" s="9" t="n">
        <f aca="false">IF(H80="—",IF(L80="Đúng",INDEX('Quy tac'!$B$17:$B$22,2),INDEX('Quy tac'!$B$17:$B$22,1)),IF(L80="Sai",INDEX('Quy tac'!$B$17:$B$22,1),IF(I80&gt;=H80,INDEX('Quy tac'!$B$17:$B$22,MIN(MATCH(H80,'Quy tac'!$B$17:$B$22,0)+1,6)),H80)))</f>
        <v>3</v>
      </c>
      <c r="P80" s="10" t="n">
        <f aca="false">B80+O80</f>
        <v>13</v>
      </c>
      <c r="Q80" s="13" t="str">
        <f aca="false">IF(H80="—",IF(L80="Đúng","Lần đầu đúng → 3 ngày","Lần đầu sai → 1 ngày"),IF(L80="Sai","Sai → về 1 ngày",IF(I80&gt;=H80,"Đúng, đến hạn → lên 1 bậc","Đúng nhưng ôn sớm → giữ bậc")))</f>
        <v>Lần đầu đúng → 3 ngày</v>
      </c>
    </row>
    <row r="81" customFormat="false" ht="15" hidden="false" customHeight="false" outlineLevel="0" collapsed="false">
      <c r="A81" s="9" t="n">
        <v>8</v>
      </c>
      <c r="B81" s="10" t="n">
        <v>10</v>
      </c>
      <c r="C81" s="9" t="n">
        <v>10</v>
      </c>
      <c r="D81" s="9" t="s">
        <v>105</v>
      </c>
      <c r="E81" s="9" t="s">
        <v>53</v>
      </c>
      <c r="F81" s="11" t="s">
        <v>54</v>
      </c>
      <c r="G81" s="12" t="str">
        <f aca="false">IF(F81="—","—",(LEN(F81)-LEN(SUBSTITUTE(F81,"S",""))+1)/(LEN(F81)+2))</f>
        <v>—</v>
      </c>
      <c r="H81" s="11" t="s">
        <v>54</v>
      </c>
      <c r="I81" s="11" t="s">
        <v>54</v>
      </c>
      <c r="J81" s="12" t="str">
        <f aca="false">IF(H81="—","—",'Quy tac'!$B$5^(I81/H81))</f>
        <v>—</v>
      </c>
      <c r="K81" s="9" t="str">
        <f aca="false">IF(H81="—","Câu mới",IF(I81&gt;=H81,"Có","Chưa"))</f>
        <v>Câu mới</v>
      </c>
      <c r="L81" s="11" t="s">
        <v>55</v>
      </c>
      <c r="M81" s="9" t="str">
        <f aca="false">RIGHT(IF(F81="—","",F81)&amp;IF(L81="Đúng","Đ","S"),'Quy tac'!$B$7)</f>
        <v>Đ</v>
      </c>
      <c r="N81" s="12" t="n">
        <f aca="false">(LEN(M81)-LEN(SUBSTITUTE(M81,"S",""))+1)/(LEN(M81)+2)</f>
        <v>0.333333333333333</v>
      </c>
      <c r="O81" s="9" t="n">
        <f aca="false">IF(H81="—",IF(L81="Đúng",INDEX('Quy tac'!$B$17:$B$22,2),INDEX('Quy tac'!$B$17:$B$22,1)),IF(L81="Sai",INDEX('Quy tac'!$B$17:$B$22,1),IF(I81&gt;=H81,INDEX('Quy tac'!$B$17:$B$22,MIN(MATCH(H81,'Quy tac'!$B$17:$B$22,0)+1,6)),H81)))</f>
        <v>3</v>
      </c>
      <c r="P81" s="10" t="n">
        <f aca="false">B81+O81</f>
        <v>13</v>
      </c>
      <c r="Q81" s="13" t="str">
        <f aca="false">IF(H81="—",IF(L81="Đúng","Lần đầu đúng → 3 ngày","Lần đầu sai → 1 ngày"),IF(L81="Sai","Sai → về 1 ngày",IF(I81&gt;=H81,"Đúng, đến hạn → lên 1 bậc","Đúng nhưng ôn sớm → giữ bậc")))</f>
        <v>Lần đầu đúng → 3 ngày</v>
      </c>
    </row>
    <row r="82" customFormat="false" ht="15" hidden="false" customHeight="false" outlineLevel="0" collapsed="false">
      <c r="A82" s="14" t="n">
        <v>9</v>
      </c>
      <c r="B82" s="15" t="n">
        <v>13</v>
      </c>
      <c r="C82" s="14" t="n">
        <v>1</v>
      </c>
      <c r="D82" s="14" t="s">
        <v>103</v>
      </c>
      <c r="E82" s="14" t="s">
        <v>66</v>
      </c>
      <c r="F82" s="16" t="s">
        <v>67</v>
      </c>
      <c r="G82" s="17" t="n">
        <f aca="false">IF(F82="—","—",(LEN(F82)-LEN(SUBSTITUTE(F82,"S",""))+1)/(LEN(F82)+2))</f>
        <v>0.666666666666667</v>
      </c>
      <c r="H82" s="16" t="n">
        <v>1</v>
      </c>
      <c r="I82" s="16" t="n">
        <v>3</v>
      </c>
      <c r="J82" s="17" t="n">
        <f aca="false">IF(H82="—","—",'Quy tac'!$B$5^(I82/H82))</f>
        <v>0.729</v>
      </c>
      <c r="K82" s="14" t="str">
        <f aca="false">IF(H82="—","Câu mới",IF(I82&gt;=H82,"Có","Chưa"))</f>
        <v>Có</v>
      </c>
      <c r="L82" s="16" t="s">
        <v>58</v>
      </c>
      <c r="M82" s="14" t="str">
        <f aca="false">RIGHT(IF(F82="—","",F82)&amp;IF(L82="Đúng","Đ","S"),'Quy tac'!$B$7)</f>
        <v>SS</v>
      </c>
      <c r="N82" s="17" t="n">
        <f aca="false">(LEN(M82)-LEN(SUBSTITUTE(M82,"S",""))+1)/(LEN(M82)+2)</f>
        <v>0.75</v>
      </c>
      <c r="O82" s="14" t="n">
        <f aca="false">IF(H82="—",IF(L82="Đúng",INDEX('Quy tac'!$B$17:$B$22,2),INDEX('Quy tac'!$B$17:$B$22,1)),IF(L82="Sai",INDEX('Quy tac'!$B$17:$B$22,1),IF(I82&gt;=H82,INDEX('Quy tac'!$B$17:$B$22,MIN(MATCH(H82,'Quy tac'!$B$17:$B$22,0)+1,6)),H82)))</f>
        <v>1</v>
      </c>
      <c r="P82" s="15" t="n">
        <f aca="false">B82+O82</f>
        <v>14</v>
      </c>
      <c r="Q82" s="18" t="str">
        <f aca="false">IF(H82="—",IF(L82="Đúng","Lần đầu đúng → 3 ngày","Lần đầu sai → 1 ngày"),IF(L82="Sai","Sai → về 1 ngày",IF(I82&gt;=H82,"Đúng, đến hạn → lên 1 bậc","Đúng nhưng ôn sớm → giữ bậc")))</f>
        <v>Sai → về 1 ngày</v>
      </c>
    </row>
    <row r="83" customFormat="false" ht="15" hidden="false" customHeight="false" outlineLevel="0" collapsed="false">
      <c r="A83" s="14" t="n">
        <v>9</v>
      </c>
      <c r="B83" s="15" t="n">
        <v>13</v>
      </c>
      <c r="C83" s="14" t="n">
        <v>2</v>
      </c>
      <c r="D83" s="14" t="s">
        <v>64</v>
      </c>
      <c r="E83" s="14" t="s">
        <v>66</v>
      </c>
      <c r="F83" s="16" t="s">
        <v>98</v>
      </c>
      <c r="G83" s="17" t="n">
        <f aca="false">IF(F83="—","—",(LEN(F83)-LEN(SUBSTITUTE(F83,"S",""))+1)/(LEN(F83)+2))</f>
        <v>0.6</v>
      </c>
      <c r="H83" s="16" t="n">
        <v>1</v>
      </c>
      <c r="I83" s="16" t="n">
        <v>3</v>
      </c>
      <c r="J83" s="17" t="n">
        <f aca="false">IF(H83="—","—",'Quy tac'!$B$5^(I83/H83))</f>
        <v>0.729</v>
      </c>
      <c r="K83" s="14" t="str">
        <f aca="false">IF(H83="—","Câu mới",IF(I83&gt;=H83,"Có","Chưa"))</f>
        <v>Có</v>
      </c>
      <c r="L83" s="16" t="s">
        <v>58</v>
      </c>
      <c r="M83" s="14" t="str">
        <f aca="false">RIGHT(IF(F83="—","",F83)&amp;IF(L83="Đúng","Đ","S"),'Quy tac'!$B$7)</f>
        <v>ĐSSS</v>
      </c>
      <c r="N83" s="17" t="n">
        <f aca="false">(LEN(M83)-LEN(SUBSTITUTE(M83,"S",""))+1)/(LEN(M83)+2)</f>
        <v>0.666666666666667</v>
      </c>
      <c r="O83" s="14" t="n">
        <f aca="false">IF(H83="—",IF(L83="Đúng",INDEX('Quy tac'!$B$17:$B$22,2),INDEX('Quy tac'!$B$17:$B$22,1)),IF(L83="Sai",INDEX('Quy tac'!$B$17:$B$22,1),IF(I83&gt;=H83,INDEX('Quy tac'!$B$17:$B$22,MIN(MATCH(H83,'Quy tac'!$B$17:$B$22,0)+1,6)),H83)))</f>
        <v>1</v>
      </c>
      <c r="P83" s="15" t="n">
        <f aca="false">B83+O83</f>
        <v>14</v>
      </c>
      <c r="Q83" s="18" t="str">
        <f aca="false">IF(H83="—",IF(L83="Đúng","Lần đầu đúng → 3 ngày","Lần đầu sai → 1 ngày"),IF(L83="Sai","Sai → về 1 ngày",IF(I83&gt;=H83,"Đúng, đến hạn → lên 1 bậc","Đúng nhưng ôn sớm → giữ bậc")))</f>
        <v>Sai → về 1 ngày</v>
      </c>
    </row>
    <row r="84" customFormat="false" ht="15" hidden="false" customHeight="false" outlineLevel="0" collapsed="false">
      <c r="A84" s="14" t="n">
        <v>9</v>
      </c>
      <c r="B84" s="15" t="n">
        <v>13</v>
      </c>
      <c r="C84" s="14" t="n">
        <v>3</v>
      </c>
      <c r="D84" s="14" t="s">
        <v>69</v>
      </c>
      <c r="E84" s="14" t="s">
        <v>66</v>
      </c>
      <c r="F84" s="16" t="s">
        <v>93</v>
      </c>
      <c r="G84" s="17" t="n">
        <f aca="false">IF(F84="—","—",(LEN(F84)-LEN(SUBSTITUTE(F84,"S",""))+1)/(LEN(F84)+2))</f>
        <v>0.5</v>
      </c>
      <c r="H84" s="16" t="n">
        <v>1</v>
      </c>
      <c r="I84" s="16" t="n">
        <v>3</v>
      </c>
      <c r="J84" s="17" t="n">
        <f aca="false">IF(H84="—","—",'Quy tac'!$B$5^(I84/H84))</f>
        <v>0.729</v>
      </c>
      <c r="K84" s="14" t="str">
        <f aca="false">IF(H84="—","Câu mới",IF(I84&gt;=H84,"Có","Chưa"))</f>
        <v>Có</v>
      </c>
      <c r="L84" s="16" t="s">
        <v>58</v>
      </c>
      <c r="M84" s="14" t="str">
        <f aca="false">RIGHT(IF(F84="—","",F84)&amp;IF(L84="Đúng","Đ","S"),'Quy tac'!$B$7)</f>
        <v>ĐSS</v>
      </c>
      <c r="N84" s="17" t="n">
        <f aca="false">(LEN(M84)-LEN(SUBSTITUTE(M84,"S",""))+1)/(LEN(M84)+2)</f>
        <v>0.6</v>
      </c>
      <c r="O84" s="14" t="n">
        <f aca="false">IF(H84="—",IF(L84="Đúng",INDEX('Quy tac'!$B$17:$B$22,2),INDEX('Quy tac'!$B$17:$B$22,1)),IF(L84="Sai",INDEX('Quy tac'!$B$17:$B$22,1),IF(I84&gt;=H84,INDEX('Quy tac'!$B$17:$B$22,MIN(MATCH(H84,'Quy tac'!$B$17:$B$22,0)+1,6)),H84)))</f>
        <v>1</v>
      </c>
      <c r="P84" s="15" t="n">
        <f aca="false">B84+O84</f>
        <v>14</v>
      </c>
      <c r="Q84" s="18" t="str">
        <f aca="false">IF(H84="—",IF(L84="Đúng","Lần đầu đúng → 3 ngày","Lần đầu sai → 1 ngày"),IF(L84="Sai","Sai → về 1 ngày",IF(I84&gt;=H84,"Đúng, đến hạn → lên 1 bậc","Đúng nhưng ôn sớm → giữ bậc")))</f>
        <v>Sai → về 1 ngày</v>
      </c>
    </row>
    <row r="85" customFormat="false" ht="15" hidden="false" customHeight="false" outlineLevel="0" collapsed="false">
      <c r="A85" s="14" t="n">
        <v>9</v>
      </c>
      <c r="B85" s="15" t="n">
        <v>13</v>
      </c>
      <c r="C85" s="14" t="n">
        <v>4</v>
      </c>
      <c r="D85" s="14" t="s">
        <v>70</v>
      </c>
      <c r="E85" s="14" t="s">
        <v>66</v>
      </c>
      <c r="F85" s="16" t="s">
        <v>93</v>
      </c>
      <c r="G85" s="17" t="n">
        <f aca="false">IF(F85="—","—",(LEN(F85)-LEN(SUBSTITUTE(F85,"S",""))+1)/(LEN(F85)+2))</f>
        <v>0.5</v>
      </c>
      <c r="H85" s="16" t="n">
        <v>1</v>
      </c>
      <c r="I85" s="16" t="n">
        <v>3</v>
      </c>
      <c r="J85" s="17" t="n">
        <f aca="false">IF(H85="—","—",'Quy tac'!$B$5^(I85/H85))</f>
        <v>0.729</v>
      </c>
      <c r="K85" s="14" t="str">
        <f aca="false">IF(H85="—","Câu mới",IF(I85&gt;=H85,"Có","Chưa"))</f>
        <v>Có</v>
      </c>
      <c r="L85" s="16" t="s">
        <v>55</v>
      </c>
      <c r="M85" s="14" t="str">
        <f aca="false">RIGHT(IF(F85="—","",F85)&amp;IF(L85="Đúng","Đ","S"),'Quy tac'!$B$7)</f>
        <v>ĐSĐ</v>
      </c>
      <c r="N85" s="17" t="n">
        <f aca="false">(LEN(M85)-LEN(SUBSTITUTE(M85,"S",""))+1)/(LEN(M85)+2)</f>
        <v>0.4</v>
      </c>
      <c r="O85" s="14" t="n">
        <f aca="false">IF(H85="—",IF(L85="Đúng",INDEX('Quy tac'!$B$17:$B$22,2),INDEX('Quy tac'!$B$17:$B$22,1)),IF(L85="Sai",INDEX('Quy tac'!$B$17:$B$22,1),IF(I85&gt;=H85,INDEX('Quy tac'!$B$17:$B$22,MIN(MATCH(H85,'Quy tac'!$B$17:$B$22,0)+1,6)),H85)))</f>
        <v>3</v>
      </c>
      <c r="P85" s="15" t="n">
        <f aca="false">B85+O85</f>
        <v>16</v>
      </c>
      <c r="Q85" s="18" t="str">
        <f aca="false">IF(H85="—",IF(L85="Đúng","Lần đầu đúng → 3 ngày","Lần đầu sai → 1 ngày"),IF(L85="Sai","Sai → về 1 ngày",IF(I85&gt;=H85,"Đúng, đến hạn → lên 1 bậc","Đúng nhưng ôn sớm → giữ bậc")))</f>
        <v>Đúng, đến hạn → lên 1 bậc</v>
      </c>
    </row>
    <row r="86" customFormat="false" ht="15" hidden="false" customHeight="false" outlineLevel="0" collapsed="false">
      <c r="A86" s="19" t="n">
        <v>9</v>
      </c>
      <c r="B86" s="20" t="n">
        <v>13</v>
      </c>
      <c r="C86" s="19" t="n">
        <v>5</v>
      </c>
      <c r="D86" s="19" t="s">
        <v>65</v>
      </c>
      <c r="E86" s="19" t="s">
        <v>82</v>
      </c>
      <c r="F86" s="21" t="s">
        <v>106</v>
      </c>
      <c r="G86" s="22" t="n">
        <f aca="false">IF(F86="—","—",(LEN(F86)-LEN(SUBSTITUTE(F86,"S",""))+1)/(LEN(F86)+2))</f>
        <v>0.4</v>
      </c>
      <c r="H86" s="21" t="n">
        <v>3</v>
      </c>
      <c r="I86" s="21" t="n">
        <v>10</v>
      </c>
      <c r="J86" s="22" t="n">
        <f aca="false">IF(H86="—","—",'Quy tac'!$B$5^(I86/H86))</f>
        <v>0.703841761377504</v>
      </c>
      <c r="K86" s="19" t="str">
        <f aca="false">IF(H86="—","Câu mới",IF(I86&gt;=H86,"Có","Chưa"))</f>
        <v>Có</v>
      </c>
      <c r="L86" s="21" t="s">
        <v>58</v>
      </c>
      <c r="M86" s="19" t="str">
        <f aca="false">RIGHT(IF(F86="—","",F86)&amp;IF(L86="Đúng","Đ","S"),'Quy tac'!$B$7)</f>
        <v>SĐĐS</v>
      </c>
      <c r="N86" s="22" t="n">
        <f aca="false">(LEN(M86)-LEN(SUBSTITUTE(M86,"S",""))+1)/(LEN(M86)+2)</f>
        <v>0.5</v>
      </c>
      <c r="O86" s="19" t="n">
        <f aca="false">IF(H86="—",IF(L86="Đúng",INDEX('Quy tac'!$B$17:$B$22,2),INDEX('Quy tac'!$B$17:$B$22,1)),IF(L86="Sai",INDEX('Quy tac'!$B$17:$B$22,1),IF(I86&gt;=H86,INDEX('Quy tac'!$B$17:$B$22,MIN(MATCH(H86,'Quy tac'!$B$17:$B$22,0)+1,6)),H86)))</f>
        <v>1</v>
      </c>
      <c r="P86" s="20" t="n">
        <f aca="false">B86+O86</f>
        <v>14</v>
      </c>
      <c r="Q86" s="23" t="str">
        <f aca="false">IF(H86="—",IF(L86="Đúng","Lần đầu đúng → 3 ngày","Lần đầu sai → 1 ngày"),IF(L86="Sai","Sai → về 1 ngày",IF(I86&gt;=H86,"Đúng, đến hạn → lên 1 bậc","Đúng nhưng ôn sớm → giữ bậc")))</f>
        <v>Sai → về 1 ngày</v>
      </c>
    </row>
    <row r="87" customFormat="false" ht="15" hidden="false" customHeight="false" outlineLevel="0" collapsed="false">
      <c r="A87" s="19" t="n">
        <v>9</v>
      </c>
      <c r="B87" s="20" t="n">
        <v>13</v>
      </c>
      <c r="C87" s="19" t="n">
        <v>6</v>
      </c>
      <c r="D87" s="19" t="s">
        <v>77</v>
      </c>
      <c r="E87" s="19" t="s">
        <v>82</v>
      </c>
      <c r="F87" s="21" t="s">
        <v>84</v>
      </c>
      <c r="G87" s="22" t="n">
        <f aca="false">IF(F87="—","—",(LEN(F87)-LEN(SUBSTITUTE(F87,"S",""))+1)/(LEN(F87)+2))</f>
        <v>0.333333333333333</v>
      </c>
      <c r="H87" s="21" t="n">
        <v>3</v>
      </c>
      <c r="I87" s="21" t="n">
        <v>10</v>
      </c>
      <c r="J87" s="22" t="n">
        <f aca="false">IF(H87="—","—",'Quy tac'!$B$5^(I87/H87))</f>
        <v>0.703841761377504</v>
      </c>
      <c r="K87" s="19" t="str">
        <f aca="false">IF(H87="—","Câu mới",IF(I87&gt;=H87,"Có","Chưa"))</f>
        <v>Có</v>
      </c>
      <c r="L87" s="21" t="s">
        <v>55</v>
      </c>
      <c r="M87" s="19" t="str">
        <f aca="false">RIGHT(IF(F87="—","",F87)&amp;IF(L87="Đúng","Đ","S"),'Quy tac'!$B$7)</f>
        <v>ĐĐ</v>
      </c>
      <c r="N87" s="22" t="n">
        <f aca="false">(LEN(M87)-LEN(SUBSTITUTE(M87,"S",""))+1)/(LEN(M87)+2)</f>
        <v>0.25</v>
      </c>
      <c r="O87" s="19" t="n">
        <f aca="false">IF(H87="—",IF(L87="Đúng",INDEX('Quy tac'!$B$17:$B$22,2),INDEX('Quy tac'!$B$17:$B$22,1)),IF(L87="Sai",INDEX('Quy tac'!$B$17:$B$22,1),IF(I87&gt;=H87,INDEX('Quy tac'!$B$17:$B$22,MIN(MATCH(H87,'Quy tac'!$B$17:$B$22,0)+1,6)),H87)))</f>
        <v>7</v>
      </c>
      <c r="P87" s="20" t="n">
        <f aca="false">B87+O87</f>
        <v>20</v>
      </c>
      <c r="Q87" s="23" t="str">
        <f aca="false">IF(H87="—",IF(L87="Đúng","Lần đầu đúng → 3 ngày","Lần đầu sai → 1 ngày"),IF(L87="Sai","Sai → về 1 ngày",IF(I87&gt;=H87,"Đúng, đến hạn → lên 1 bậc","Đúng nhưng ôn sớm → giữ bậc")))</f>
        <v>Đúng, đến hạn → lên 1 bậc</v>
      </c>
    </row>
    <row r="88" customFormat="false" ht="15" hidden="false" customHeight="false" outlineLevel="0" collapsed="false">
      <c r="A88" s="19" t="n">
        <v>9</v>
      </c>
      <c r="B88" s="20" t="n">
        <v>13</v>
      </c>
      <c r="C88" s="19" t="n">
        <v>7</v>
      </c>
      <c r="D88" s="19" t="s">
        <v>78</v>
      </c>
      <c r="E88" s="19" t="s">
        <v>82</v>
      </c>
      <c r="F88" s="21" t="s">
        <v>84</v>
      </c>
      <c r="G88" s="22" t="n">
        <f aca="false">IF(F88="—","—",(LEN(F88)-LEN(SUBSTITUTE(F88,"S",""))+1)/(LEN(F88)+2))</f>
        <v>0.333333333333333</v>
      </c>
      <c r="H88" s="21" t="n">
        <v>3</v>
      </c>
      <c r="I88" s="21" t="n">
        <v>10</v>
      </c>
      <c r="J88" s="22" t="n">
        <f aca="false">IF(H88="—","—",'Quy tac'!$B$5^(I88/H88))</f>
        <v>0.703841761377504</v>
      </c>
      <c r="K88" s="19" t="str">
        <f aca="false">IF(H88="—","Câu mới",IF(I88&gt;=H88,"Có","Chưa"))</f>
        <v>Có</v>
      </c>
      <c r="L88" s="21" t="s">
        <v>55</v>
      </c>
      <c r="M88" s="19" t="str">
        <f aca="false">RIGHT(IF(F88="—","",F88)&amp;IF(L88="Đúng","Đ","S"),'Quy tac'!$B$7)</f>
        <v>ĐĐ</v>
      </c>
      <c r="N88" s="22" t="n">
        <f aca="false">(LEN(M88)-LEN(SUBSTITUTE(M88,"S",""))+1)/(LEN(M88)+2)</f>
        <v>0.25</v>
      </c>
      <c r="O88" s="19" t="n">
        <f aca="false">IF(H88="—",IF(L88="Đúng",INDEX('Quy tac'!$B$17:$B$22,2),INDEX('Quy tac'!$B$17:$B$22,1)),IF(L88="Sai",INDEX('Quy tac'!$B$17:$B$22,1),IF(I88&gt;=H88,INDEX('Quy tac'!$B$17:$B$22,MIN(MATCH(H88,'Quy tac'!$B$17:$B$22,0)+1,6)),H88)))</f>
        <v>7</v>
      </c>
      <c r="P88" s="20" t="n">
        <f aca="false">B88+O88</f>
        <v>20</v>
      </c>
      <c r="Q88" s="23" t="str">
        <f aca="false">IF(H88="—",IF(L88="Đúng","Lần đầu đúng → 3 ngày","Lần đầu sai → 1 ngày"),IF(L88="Sai","Sai → về 1 ngày",IF(I88&gt;=H88,"Đúng, đến hạn → lên 1 bậc","Đúng nhưng ôn sớm → giữ bậc")))</f>
        <v>Đúng, đến hạn → lên 1 bậc</v>
      </c>
    </row>
    <row r="89" customFormat="false" ht="15" hidden="false" customHeight="false" outlineLevel="0" collapsed="false">
      <c r="A89" s="9" t="n">
        <v>9</v>
      </c>
      <c r="B89" s="10" t="n">
        <v>13</v>
      </c>
      <c r="C89" s="9" t="n">
        <v>8</v>
      </c>
      <c r="D89" s="9" t="s">
        <v>107</v>
      </c>
      <c r="E89" s="9" t="s">
        <v>53</v>
      </c>
      <c r="F89" s="11" t="s">
        <v>54</v>
      </c>
      <c r="G89" s="12" t="str">
        <f aca="false">IF(F89="—","—",(LEN(F89)-LEN(SUBSTITUTE(F89,"S",""))+1)/(LEN(F89)+2))</f>
        <v>—</v>
      </c>
      <c r="H89" s="11" t="s">
        <v>54</v>
      </c>
      <c r="I89" s="11" t="s">
        <v>54</v>
      </c>
      <c r="J89" s="12" t="str">
        <f aca="false">IF(H89="—","—",'Quy tac'!$B$5^(I89/H89))</f>
        <v>—</v>
      </c>
      <c r="K89" s="9" t="str">
        <f aca="false">IF(H89="—","Câu mới",IF(I89&gt;=H89,"Có","Chưa"))</f>
        <v>Câu mới</v>
      </c>
      <c r="L89" s="11" t="s">
        <v>55</v>
      </c>
      <c r="M89" s="9" t="str">
        <f aca="false">RIGHT(IF(F89="—","",F89)&amp;IF(L89="Đúng","Đ","S"),'Quy tac'!$B$7)</f>
        <v>Đ</v>
      </c>
      <c r="N89" s="12" t="n">
        <f aca="false">(LEN(M89)-LEN(SUBSTITUTE(M89,"S",""))+1)/(LEN(M89)+2)</f>
        <v>0.333333333333333</v>
      </c>
      <c r="O89" s="9" t="n">
        <f aca="false">IF(H89="—",IF(L89="Đúng",INDEX('Quy tac'!$B$17:$B$22,2),INDEX('Quy tac'!$B$17:$B$22,1)),IF(L89="Sai",INDEX('Quy tac'!$B$17:$B$22,1),IF(I89&gt;=H89,INDEX('Quy tac'!$B$17:$B$22,MIN(MATCH(H89,'Quy tac'!$B$17:$B$22,0)+1,6)),H89)))</f>
        <v>3</v>
      </c>
      <c r="P89" s="10" t="n">
        <f aca="false">B89+O89</f>
        <v>16</v>
      </c>
      <c r="Q89" s="13" t="str">
        <f aca="false">IF(H89="—",IF(L89="Đúng","Lần đầu đúng → 3 ngày","Lần đầu sai → 1 ngày"),IF(L89="Sai","Sai → về 1 ngày",IF(I89&gt;=H89,"Đúng, đến hạn → lên 1 bậc","Đúng nhưng ôn sớm → giữ bậc")))</f>
        <v>Lần đầu đúng → 3 ngày</v>
      </c>
    </row>
    <row r="90" customFormat="false" ht="15" hidden="false" customHeight="false" outlineLevel="0" collapsed="false">
      <c r="A90" s="9" t="n">
        <v>9</v>
      </c>
      <c r="B90" s="10" t="n">
        <v>13</v>
      </c>
      <c r="C90" s="9" t="n">
        <v>9</v>
      </c>
      <c r="D90" s="9" t="s">
        <v>108</v>
      </c>
      <c r="E90" s="9" t="s">
        <v>53</v>
      </c>
      <c r="F90" s="11" t="s">
        <v>54</v>
      </c>
      <c r="G90" s="12" t="str">
        <f aca="false">IF(F90="—","—",(LEN(F90)-LEN(SUBSTITUTE(F90,"S",""))+1)/(LEN(F90)+2))</f>
        <v>—</v>
      </c>
      <c r="H90" s="11" t="s">
        <v>54</v>
      </c>
      <c r="I90" s="11" t="s">
        <v>54</v>
      </c>
      <c r="J90" s="12" t="str">
        <f aca="false">IF(H90="—","—",'Quy tac'!$B$5^(I90/H90))</f>
        <v>—</v>
      </c>
      <c r="K90" s="9" t="str">
        <f aca="false">IF(H90="—","Câu mới",IF(I90&gt;=H90,"Có","Chưa"))</f>
        <v>Câu mới</v>
      </c>
      <c r="L90" s="11" t="s">
        <v>58</v>
      </c>
      <c r="M90" s="9" t="str">
        <f aca="false">RIGHT(IF(F90="—","",F90)&amp;IF(L90="Đúng","Đ","S"),'Quy tac'!$B$7)</f>
        <v>S</v>
      </c>
      <c r="N90" s="12" t="n">
        <f aca="false">(LEN(M90)-LEN(SUBSTITUTE(M90,"S",""))+1)/(LEN(M90)+2)</f>
        <v>0.666666666666667</v>
      </c>
      <c r="O90" s="9" t="n">
        <f aca="false">IF(H90="—",IF(L90="Đúng",INDEX('Quy tac'!$B$17:$B$22,2),INDEX('Quy tac'!$B$17:$B$22,1)),IF(L90="Sai",INDEX('Quy tac'!$B$17:$B$22,1),IF(I90&gt;=H90,INDEX('Quy tac'!$B$17:$B$22,MIN(MATCH(H90,'Quy tac'!$B$17:$B$22,0)+1,6)),H90)))</f>
        <v>1</v>
      </c>
      <c r="P90" s="10" t="n">
        <f aca="false">B90+O90</f>
        <v>14</v>
      </c>
      <c r="Q90" s="13" t="str">
        <f aca="false">IF(H90="—",IF(L90="Đúng","Lần đầu đúng → 3 ngày","Lần đầu sai → 1 ngày"),IF(L90="Sai","Sai → về 1 ngày",IF(I90&gt;=H90,"Đúng, đến hạn → lên 1 bậc","Đúng nhưng ôn sớm → giữ bậc")))</f>
        <v>Lần đầu sai → 1 ngày</v>
      </c>
    </row>
    <row r="91" customFormat="false" ht="15" hidden="false" customHeight="false" outlineLevel="0" collapsed="false">
      <c r="A91" s="9" t="n">
        <v>9</v>
      </c>
      <c r="B91" s="10" t="n">
        <v>13</v>
      </c>
      <c r="C91" s="9" t="n">
        <v>10</v>
      </c>
      <c r="D91" s="9" t="s">
        <v>109</v>
      </c>
      <c r="E91" s="9" t="s">
        <v>53</v>
      </c>
      <c r="F91" s="11" t="s">
        <v>54</v>
      </c>
      <c r="G91" s="12" t="str">
        <f aca="false">IF(F91="—","—",(LEN(F91)-LEN(SUBSTITUTE(F91,"S",""))+1)/(LEN(F91)+2))</f>
        <v>—</v>
      </c>
      <c r="H91" s="11" t="s">
        <v>54</v>
      </c>
      <c r="I91" s="11" t="s">
        <v>54</v>
      </c>
      <c r="J91" s="12" t="str">
        <f aca="false">IF(H91="—","—",'Quy tac'!$B$5^(I91/H91))</f>
        <v>—</v>
      </c>
      <c r="K91" s="9" t="str">
        <f aca="false">IF(H91="—","Câu mới",IF(I91&gt;=H91,"Có","Chưa"))</f>
        <v>Câu mới</v>
      </c>
      <c r="L91" s="11" t="s">
        <v>58</v>
      </c>
      <c r="M91" s="9" t="str">
        <f aca="false">RIGHT(IF(F91="—","",F91)&amp;IF(L91="Đúng","Đ","S"),'Quy tac'!$B$7)</f>
        <v>S</v>
      </c>
      <c r="N91" s="12" t="n">
        <f aca="false">(LEN(M91)-LEN(SUBSTITUTE(M91,"S",""))+1)/(LEN(M91)+2)</f>
        <v>0.666666666666667</v>
      </c>
      <c r="O91" s="9" t="n">
        <f aca="false">IF(H91="—",IF(L91="Đúng",INDEX('Quy tac'!$B$17:$B$22,2),INDEX('Quy tac'!$B$17:$B$22,1)),IF(L91="Sai",INDEX('Quy tac'!$B$17:$B$22,1),IF(I91&gt;=H91,INDEX('Quy tac'!$B$17:$B$22,MIN(MATCH(H91,'Quy tac'!$B$17:$B$22,0)+1,6)),H91)))</f>
        <v>1</v>
      </c>
      <c r="P91" s="10" t="n">
        <f aca="false">B91+O91</f>
        <v>14</v>
      </c>
      <c r="Q91" s="13" t="str">
        <f aca="false">IF(H91="—",IF(L91="Đúng","Lần đầu đúng → 3 ngày","Lần đầu sai → 1 ngày"),IF(L91="Sai","Sai → về 1 ngày",IF(I91&gt;=H91,"Đúng, đến hạn → lên 1 bậc","Đúng nhưng ôn sớm → giữ bậc")))</f>
        <v>Lần đầu sai → 1 ngày</v>
      </c>
    </row>
    <row r="92" customFormat="false" ht="15" hidden="false" customHeight="false" outlineLevel="0" collapsed="false">
      <c r="A92" s="14" t="n">
        <v>10</v>
      </c>
      <c r="B92" s="15" t="n">
        <v>17</v>
      </c>
      <c r="C92" s="14" t="n">
        <v>1</v>
      </c>
      <c r="D92" s="14" t="s">
        <v>103</v>
      </c>
      <c r="E92" s="14" t="s">
        <v>66</v>
      </c>
      <c r="F92" s="16" t="s">
        <v>75</v>
      </c>
      <c r="G92" s="17" t="n">
        <f aca="false">IF(F92="—","—",(LEN(F92)-LEN(SUBSTITUTE(F92,"S",""))+1)/(LEN(F92)+2))</f>
        <v>0.75</v>
      </c>
      <c r="H92" s="16" t="n">
        <v>1</v>
      </c>
      <c r="I92" s="16" t="n">
        <v>4</v>
      </c>
      <c r="J92" s="17" t="n">
        <f aca="false">IF(H92="—","—",'Quy tac'!$B$5^(I92/H92))</f>
        <v>0.6561</v>
      </c>
      <c r="K92" s="14" t="str">
        <f aca="false">IF(H92="—","Câu mới",IF(I92&gt;=H92,"Có","Chưa"))</f>
        <v>Có</v>
      </c>
      <c r="L92" s="16" t="s">
        <v>55</v>
      </c>
      <c r="M92" s="14" t="str">
        <f aca="false">RIGHT(IF(F92="—","",F92)&amp;IF(L92="Đúng","Đ","S"),'Quy tac'!$B$7)</f>
        <v>SSĐ</v>
      </c>
      <c r="N92" s="17" t="n">
        <f aca="false">(LEN(M92)-LEN(SUBSTITUTE(M92,"S",""))+1)/(LEN(M92)+2)</f>
        <v>0.6</v>
      </c>
      <c r="O92" s="14" t="n">
        <f aca="false">IF(H92="—",IF(L92="Đúng",INDEX('Quy tac'!$B$17:$B$22,2),INDEX('Quy tac'!$B$17:$B$22,1)),IF(L92="Sai",INDEX('Quy tac'!$B$17:$B$22,1),IF(I92&gt;=H92,INDEX('Quy tac'!$B$17:$B$22,MIN(MATCH(H92,'Quy tac'!$B$17:$B$22,0)+1,6)),H92)))</f>
        <v>3</v>
      </c>
      <c r="P92" s="15" t="n">
        <f aca="false">B92+O92</f>
        <v>20</v>
      </c>
      <c r="Q92" s="18" t="str">
        <f aca="false">IF(H92="—",IF(L92="Đúng","Lần đầu đúng → 3 ngày","Lần đầu sai → 1 ngày"),IF(L92="Sai","Sai → về 1 ngày",IF(I92&gt;=H92,"Đúng, đến hạn → lên 1 bậc","Đúng nhưng ôn sớm → giữ bậc")))</f>
        <v>Đúng, đến hạn → lên 1 bậc</v>
      </c>
    </row>
    <row r="93" customFormat="false" ht="15" hidden="false" customHeight="false" outlineLevel="0" collapsed="false">
      <c r="A93" s="14" t="n">
        <v>10</v>
      </c>
      <c r="B93" s="15" t="n">
        <v>17</v>
      </c>
      <c r="C93" s="14" t="n">
        <v>2</v>
      </c>
      <c r="D93" s="14" t="s">
        <v>64</v>
      </c>
      <c r="E93" s="14" t="s">
        <v>66</v>
      </c>
      <c r="F93" s="16" t="s">
        <v>110</v>
      </c>
      <c r="G93" s="17" t="n">
        <f aca="false">IF(F93="—","—",(LEN(F93)-LEN(SUBSTITUTE(F93,"S",""))+1)/(LEN(F93)+2))</f>
        <v>0.666666666666667</v>
      </c>
      <c r="H93" s="16" t="n">
        <v>1</v>
      </c>
      <c r="I93" s="16" t="n">
        <v>4</v>
      </c>
      <c r="J93" s="17" t="n">
        <f aca="false">IF(H93="—","—",'Quy tac'!$B$5^(I93/H93))</f>
        <v>0.6561</v>
      </c>
      <c r="K93" s="14" t="str">
        <f aca="false">IF(H93="—","Câu mới",IF(I93&gt;=H93,"Có","Chưa"))</f>
        <v>Có</v>
      </c>
      <c r="L93" s="16" t="s">
        <v>55</v>
      </c>
      <c r="M93" s="14" t="str">
        <f aca="false">RIGHT(IF(F93="—","",F93)&amp;IF(L93="Đúng","Đ","S"),'Quy tac'!$B$7)</f>
        <v>ĐSSSĐ</v>
      </c>
      <c r="N93" s="17" t="n">
        <f aca="false">(LEN(M93)-LEN(SUBSTITUTE(M93,"S",""))+1)/(LEN(M93)+2)</f>
        <v>0.571428571428571</v>
      </c>
      <c r="O93" s="14" t="n">
        <f aca="false">IF(H93="—",IF(L93="Đúng",INDEX('Quy tac'!$B$17:$B$22,2),INDEX('Quy tac'!$B$17:$B$22,1)),IF(L93="Sai",INDEX('Quy tac'!$B$17:$B$22,1),IF(I93&gt;=H93,INDEX('Quy tac'!$B$17:$B$22,MIN(MATCH(H93,'Quy tac'!$B$17:$B$22,0)+1,6)),H93)))</f>
        <v>3</v>
      </c>
      <c r="P93" s="15" t="n">
        <f aca="false">B93+O93</f>
        <v>20</v>
      </c>
      <c r="Q93" s="18" t="str">
        <f aca="false">IF(H93="—",IF(L93="Đúng","Lần đầu đúng → 3 ngày","Lần đầu sai → 1 ngày"),IF(L93="Sai","Sai → về 1 ngày",IF(I93&gt;=H93,"Đúng, đến hạn → lên 1 bậc","Đúng nhưng ôn sớm → giữ bậc")))</f>
        <v>Đúng, đến hạn → lên 1 bậc</v>
      </c>
    </row>
    <row r="94" customFormat="false" ht="15" hidden="false" customHeight="false" outlineLevel="0" collapsed="false">
      <c r="A94" s="14" t="n">
        <v>10</v>
      </c>
      <c r="B94" s="15" t="n">
        <v>17</v>
      </c>
      <c r="C94" s="14" t="n">
        <v>3</v>
      </c>
      <c r="D94" s="14" t="s">
        <v>108</v>
      </c>
      <c r="E94" s="14" t="s">
        <v>66</v>
      </c>
      <c r="F94" s="16" t="s">
        <v>67</v>
      </c>
      <c r="G94" s="17" t="n">
        <f aca="false">IF(F94="—","—",(LEN(F94)-LEN(SUBSTITUTE(F94,"S",""))+1)/(LEN(F94)+2))</f>
        <v>0.666666666666667</v>
      </c>
      <c r="H94" s="16" t="n">
        <v>1</v>
      </c>
      <c r="I94" s="16" t="n">
        <v>4</v>
      </c>
      <c r="J94" s="17" t="n">
        <f aca="false">IF(H94="—","—",'Quy tac'!$B$5^(I94/H94))</f>
        <v>0.6561</v>
      </c>
      <c r="K94" s="14" t="str">
        <f aca="false">IF(H94="—","Câu mới",IF(I94&gt;=H94,"Có","Chưa"))</f>
        <v>Có</v>
      </c>
      <c r="L94" s="16" t="s">
        <v>58</v>
      </c>
      <c r="M94" s="14" t="str">
        <f aca="false">RIGHT(IF(F94="—","",F94)&amp;IF(L94="Đúng","Đ","S"),'Quy tac'!$B$7)</f>
        <v>SS</v>
      </c>
      <c r="N94" s="17" t="n">
        <f aca="false">(LEN(M94)-LEN(SUBSTITUTE(M94,"S",""))+1)/(LEN(M94)+2)</f>
        <v>0.75</v>
      </c>
      <c r="O94" s="14" t="n">
        <f aca="false">IF(H94="—",IF(L94="Đúng",INDEX('Quy tac'!$B$17:$B$22,2),INDEX('Quy tac'!$B$17:$B$22,1)),IF(L94="Sai",INDEX('Quy tac'!$B$17:$B$22,1),IF(I94&gt;=H94,INDEX('Quy tac'!$B$17:$B$22,MIN(MATCH(H94,'Quy tac'!$B$17:$B$22,0)+1,6)),H94)))</f>
        <v>1</v>
      </c>
      <c r="P94" s="15" t="n">
        <f aca="false">B94+O94</f>
        <v>18</v>
      </c>
      <c r="Q94" s="18" t="str">
        <f aca="false">IF(H94="—",IF(L94="Đúng","Lần đầu đúng → 3 ngày","Lần đầu sai → 1 ngày"),IF(L94="Sai","Sai → về 1 ngày",IF(I94&gt;=H94,"Đúng, đến hạn → lên 1 bậc","Đúng nhưng ôn sớm → giữ bậc")))</f>
        <v>Sai → về 1 ngày</v>
      </c>
    </row>
    <row r="95" customFormat="false" ht="15" hidden="false" customHeight="false" outlineLevel="0" collapsed="false">
      <c r="A95" s="14" t="n">
        <v>10</v>
      </c>
      <c r="B95" s="15" t="n">
        <v>17</v>
      </c>
      <c r="C95" s="14" t="n">
        <v>4</v>
      </c>
      <c r="D95" s="14" t="s">
        <v>109</v>
      </c>
      <c r="E95" s="14" t="s">
        <v>66</v>
      </c>
      <c r="F95" s="16" t="s">
        <v>67</v>
      </c>
      <c r="G95" s="17" t="n">
        <f aca="false">IF(F95="—","—",(LEN(F95)-LEN(SUBSTITUTE(F95,"S",""))+1)/(LEN(F95)+2))</f>
        <v>0.666666666666667</v>
      </c>
      <c r="H95" s="16" t="n">
        <v>1</v>
      </c>
      <c r="I95" s="16" t="n">
        <v>4</v>
      </c>
      <c r="J95" s="17" t="n">
        <f aca="false">IF(H95="—","—",'Quy tac'!$B$5^(I95/H95))</f>
        <v>0.6561</v>
      </c>
      <c r="K95" s="14" t="str">
        <f aca="false">IF(H95="—","Câu mới",IF(I95&gt;=H95,"Có","Chưa"))</f>
        <v>Có</v>
      </c>
      <c r="L95" s="16" t="s">
        <v>58</v>
      </c>
      <c r="M95" s="14" t="str">
        <f aca="false">RIGHT(IF(F95="—","",F95)&amp;IF(L95="Đúng","Đ","S"),'Quy tac'!$B$7)</f>
        <v>SS</v>
      </c>
      <c r="N95" s="17" t="n">
        <f aca="false">(LEN(M95)-LEN(SUBSTITUTE(M95,"S",""))+1)/(LEN(M95)+2)</f>
        <v>0.75</v>
      </c>
      <c r="O95" s="14" t="n">
        <f aca="false">IF(H95="—",IF(L95="Đúng",INDEX('Quy tac'!$B$17:$B$22,2),INDEX('Quy tac'!$B$17:$B$22,1)),IF(L95="Sai",INDEX('Quy tac'!$B$17:$B$22,1),IF(I95&gt;=H95,INDEX('Quy tac'!$B$17:$B$22,MIN(MATCH(H95,'Quy tac'!$B$17:$B$22,0)+1,6)),H95)))</f>
        <v>1</v>
      </c>
      <c r="P95" s="15" t="n">
        <f aca="false">B95+O95</f>
        <v>18</v>
      </c>
      <c r="Q95" s="18" t="str">
        <f aca="false">IF(H95="—",IF(L95="Đúng","Lần đầu đúng → 3 ngày","Lần đầu sai → 1 ngày"),IF(L95="Sai","Sai → về 1 ngày",IF(I95&gt;=H95,"Đúng, đến hạn → lên 1 bậc","Đúng nhưng ôn sớm → giữ bậc")))</f>
        <v>Sai → về 1 ngày</v>
      </c>
    </row>
    <row r="96" customFormat="false" ht="15" hidden="false" customHeight="false" outlineLevel="0" collapsed="false">
      <c r="A96" s="19" t="n">
        <v>10</v>
      </c>
      <c r="B96" s="20" t="n">
        <v>17</v>
      </c>
      <c r="C96" s="19" t="n">
        <v>5</v>
      </c>
      <c r="D96" s="19" t="s">
        <v>73</v>
      </c>
      <c r="E96" s="19" t="s">
        <v>82</v>
      </c>
      <c r="F96" s="21" t="s">
        <v>93</v>
      </c>
      <c r="G96" s="22" t="n">
        <f aca="false">IF(F96="—","—",(LEN(F96)-LEN(SUBSTITUTE(F96,"S",""))+1)/(LEN(F96)+2))</f>
        <v>0.5</v>
      </c>
      <c r="H96" s="21" t="n">
        <v>1</v>
      </c>
      <c r="I96" s="21" t="n">
        <v>7</v>
      </c>
      <c r="J96" s="22" t="n">
        <f aca="false">IF(H96="—","—",'Quy tac'!$B$5^(I96/H96))</f>
        <v>0.4782969</v>
      </c>
      <c r="K96" s="19" t="str">
        <f aca="false">IF(H96="—","Câu mới",IF(I96&gt;=H96,"Có","Chưa"))</f>
        <v>Có</v>
      </c>
      <c r="L96" s="21" t="s">
        <v>58</v>
      </c>
      <c r="M96" s="19" t="str">
        <f aca="false">RIGHT(IF(F96="—","",F96)&amp;IF(L96="Đúng","Đ","S"),'Quy tac'!$B$7)</f>
        <v>ĐSS</v>
      </c>
      <c r="N96" s="22" t="n">
        <f aca="false">(LEN(M96)-LEN(SUBSTITUTE(M96,"S",""))+1)/(LEN(M96)+2)</f>
        <v>0.6</v>
      </c>
      <c r="O96" s="19" t="n">
        <f aca="false">IF(H96="—",IF(L96="Đúng",INDEX('Quy tac'!$B$17:$B$22,2),INDEX('Quy tac'!$B$17:$B$22,1)),IF(L96="Sai",INDEX('Quy tac'!$B$17:$B$22,1),IF(I96&gt;=H96,INDEX('Quy tac'!$B$17:$B$22,MIN(MATCH(H96,'Quy tac'!$B$17:$B$22,0)+1,6)),H96)))</f>
        <v>1</v>
      </c>
      <c r="P96" s="20" t="n">
        <f aca="false">B96+O96</f>
        <v>18</v>
      </c>
      <c r="Q96" s="23" t="str">
        <f aca="false">IF(H96="—",IF(L96="Đúng","Lần đầu đúng → 3 ngày","Lần đầu sai → 1 ngày"),IF(L96="Sai","Sai → về 1 ngày",IF(I96&gt;=H96,"Đúng, đến hạn → lên 1 bậc","Đúng nhưng ôn sớm → giữ bậc")))</f>
        <v>Sai → về 1 ngày</v>
      </c>
    </row>
    <row r="97" customFormat="false" ht="15" hidden="false" customHeight="false" outlineLevel="0" collapsed="false">
      <c r="A97" s="19" t="n">
        <v>10</v>
      </c>
      <c r="B97" s="20" t="n">
        <v>17</v>
      </c>
      <c r="C97" s="19" t="n">
        <v>6</v>
      </c>
      <c r="D97" s="19" t="s">
        <v>79</v>
      </c>
      <c r="E97" s="19" t="s">
        <v>82</v>
      </c>
      <c r="F97" s="21" t="s">
        <v>84</v>
      </c>
      <c r="G97" s="22" t="n">
        <f aca="false">IF(F97="—","—",(LEN(F97)-LEN(SUBSTITUTE(F97,"S",""))+1)/(LEN(F97)+2))</f>
        <v>0.333333333333333</v>
      </c>
      <c r="H97" s="21" t="n">
        <v>3</v>
      </c>
      <c r="I97" s="21" t="n">
        <v>14</v>
      </c>
      <c r="J97" s="22" t="n">
        <f aca="false">IF(H97="—","—",'Quy tac'!$B$5^(I97/H97))</f>
        <v>0.611596574146898</v>
      </c>
      <c r="K97" s="19" t="str">
        <f aca="false">IF(H97="—","Câu mới",IF(I97&gt;=H97,"Có","Chưa"))</f>
        <v>Có</v>
      </c>
      <c r="L97" s="21" t="s">
        <v>58</v>
      </c>
      <c r="M97" s="19" t="str">
        <f aca="false">RIGHT(IF(F97="—","",F97)&amp;IF(L97="Đúng","Đ","S"),'Quy tac'!$B$7)</f>
        <v>ĐS</v>
      </c>
      <c r="N97" s="22" t="n">
        <f aca="false">(LEN(M97)-LEN(SUBSTITUTE(M97,"S",""))+1)/(LEN(M97)+2)</f>
        <v>0.5</v>
      </c>
      <c r="O97" s="19" t="n">
        <f aca="false">IF(H97="—",IF(L97="Đúng",INDEX('Quy tac'!$B$17:$B$22,2),INDEX('Quy tac'!$B$17:$B$22,1)),IF(L97="Sai",INDEX('Quy tac'!$B$17:$B$22,1),IF(I97&gt;=H97,INDEX('Quy tac'!$B$17:$B$22,MIN(MATCH(H97,'Quy tac'!$B$17:$B$22,0)+1,6)),H97)))</f>
        <v>1</v>
      </c>
      <c r="P97" s="20" t="n">
        <f aca="false">B97+O97</f>
        <v>18</v>
      </c>
      <c r="Q97" s="23" t="str">
        <f aca="false">IF(H97="—",IF(L97="Đúng","Lần đầu đúng → 3 ngày","Lần đầu sai → 1 ngày"),IF(L97="Sai","Sai → về 1 ngày",IF(I97&gt;=H97,"Đúng, đến hạn → lên 1 bậc","Đúng nhưng ôn sớm → giữ bậc")))</f>
        <v>Sai → về 1 ngày</v>
      </c>
    </row>
    <row r="98" customFormat="false" ht="15" hidden="false" customHeight="false" outlineLevel="0" collapsed="false">
      <c r="A98" s="19" t="n">
        <v>10</v>
      </c>
      <c r="B98" s="20" t="n">
        <v>17</v>
      </c>
      <c r="C98" s="19" t="n">
        <v>7</v>
      </c>
      <c r="D98" s="19" t="s">
        <v>85</v>
      </c>
      <c r="E98" s="19" t="s">
        <v>82</v>
      </c>
      <c r="F98" s="21" t="s">
        <v>84</v>
      </c>
      <c r="G98" s="22" t="n">
        <f aca="false">IF(F98="—","—",(LEN(F98)-LEN(SUBSTITUTE(F98,"S",""))+1)/(LEN(F98)+2))</f>
        <v>0.333333333333333</v>
      </c>
      <c r="H98" s="21" t="n">
        <v>3</v>
      </c>
      <c r="I98" s="21" t="n">
        <v>13</v>
      </c>
      <c r="J98" s="22" t="n">
        <f aca="false">IF(H98="—","—",'Quy tac'!$B$5^(I98/H98))</f>
        <v>0.633457585239754</v>
      </c>
      <c r="K98" s="19" t="str">
        <f aca="false">IF(H98="—","Câu mới",IF(I98&gt;=H98,"Có","Chưa"))</f>
        <v>Có</v>
      </c>
      <c r="L98" s="21" t="s">
        <v>55</v>
      </c>
      <c r="M98" s="19" t="str">
        <f aca="false">RIGHT(IF(F98="—","",F98)&amp;IF(L98="Đúng","Đ","S"),'Quy tac'!$B$7)</f>
        <v>ĐĐ</v>
      </c>
      <c r="N98" s="22" t="n">
        <f aca="false">(LEN(M98)-LEN(SUBSTITUTE(M98,"S",""))+1)/(LEN(M98)+2)</f>
        <v>0.25</v>
      </c>
      <c r="O98" s="19" t="n">
        <f aca="false">IF(H98="—",IF(L98="Đúng",INDEX('Quy tac'!$B$17:$B$22,2),INDEX('Quy tac'!$B$17:$B$22,1)),IF(L98="Sai",INDEX('Quy tac'!$B$17:$B$22,1),IF(I98&gt;=H98,INDEX('Quy tac'!$B$17:$B$22,MIN(MATCH(H98,'Quy tac'!$B$17:$B$22,0)+1,6)),H98)))</f>
        <v>7</v>
      </c>
      <c r="P98" s="20" t="n">
        <f aca="false">B98+O98</f>
        <v>24</v>
      </c>
      <c r="Q98" s="23" t="str">
        <f aca="false">IF(H98="—",IF(L98="Đúng","Lần đầu đúng → 3 ngày","Lần đầu sai → 1 ngày"),IF(L98="Sai","Sai → về 1 ngày",IF(I98&gt;=H98,"Đúng, đến hạn → lên 1 bậc","Đúng nhưng ôn sớm → giữ bậc")))</f>
        <v>Đúng, đến hạn → lên 1 bậc</v>
      </c>
    </row>
    <row r="99" customFormat="false" ht="15" hidden="false" customHeight="false" outlineLevel="0" collapsed="false">
      <c r="A99" s="9" t="n">
        <v>10</v>
      </c>
      <c r="B99" s="10" t="n">
        <v>17</v>
      </c>
      <c r="C99" s="9" t="n">
        <v>8</v>
      </c>
      <c r="D99" s="9" t="s">
        <v>111</v>
      </c>
      <c r="E99" s="9" t="s">
        <v>53</v>
      </c>
      <c r="F99" s="11" t="s">
        <v>54</v>
      </c>
      <c r="G99" s="12" t="str">
        <f aca="false">IF(F99="—","—",(LEN(F99)-LEN(SUBSTITUTE(F99,"S",""))+1)/(LEN(F99)+2))</f>
        <v>—</v>
      </c>
      <c r="H99" s="11" t="s">
        <v>54</v>
      </c>
      <c r="I99" s="11" t="s">
        <v>54</v>
      </c>
      <c r="J99" s="12" t="str">
        <f aca="false">IF(H99="—","—",'Quy tac'!$B$5^(I99/H99))</f>
        <v>—</v>
      </c>
      <c r="K99" s="9" t="str">
        <f aca="false">IF(H99="—","Câu mới",IF(I99&gt;=H99,"Có","Chưa"))</f>
        <v>Câu mới</v>
      </c>
      <c r="L99" s="11" t="s">
        <v>55</v>
      </c>
      <c r="M99" s="9" t="str">
        <f aca="false">RIGHT(IF(F99="—","",F99)&amp;IF(L99="Đúng","Đ","S"),'Quy tac'!$B$7)</f>
        <v>Đ</v>
      </c>
      <c r="N99" s="12" t="n">
        <f aca="false">(LEN(M99)-LEN(SUBSTITUTE(M99,"S",""))+1)/(LEN(M99)+2)</f>
        <v>0.333333333333333</v>
      </c>
      <c r="O99" s="9" t="n">
        <f aca="false">IF(H99="—",IF(L99="Đúng",INDEX('Quy tac'!$B$17:$B$22,2),INDEX('Quy tac'!$B$17:$B$22,1)),IF(L99="Sai",INDEX('Quy tac'!$B$17:$B$22,1),IF(I99&gt;=H99,INDEX('Quy tac'!$B$17:$B$22,MIN(MATCH(H99,'Quy tac'!$B$17:$B$22,0)+1,6)),H99)))</f>
        <v>3</v>
      </c>
      <c r="P99" s="10" t="n">
        <f aca="false">B99+O99</f>
        <v>20</v>
      </c>
      <c r="Q99" s="13" t="str">
        <f aca="false">IF(H99="—",IF(L99="Đúng","Lần đầu đúng → 3 ngày","Lần đầu sai → 1 ngày"),IF(L99="Sai","Sai → về 1 ngày",IF(I99&gt;=H99,"Đúng, đến hạn → lên 1 bậc","Đúng nhưng ôn sớm → giữ bậc")))</f>
        <v>Lần đầu đúng → 3 ngày</v>
      </c>
    </row>
    <row r="100" customFormat="false" ht="15" hidden="false" customHeight="false" outlineLevel="0" collapsed="false">
      <c r="A100" s="9" t="n">
        <v>10</v>
      </c>
      <c r="B100" s="10" t="n">
        <v>17</v>
      </c>
      <c r="C100" s="9" t="n">
        <v>9</v>
      </c>
      <c r="D100" s="9" t="s">
        <v>112</v>
      </c>
      <c r="E100" s="9" t="s">
        <v>53</v>
      </c>
      <c r="F100" s="11" t="s">
        <v>54</v>
      </c>
      <c r="G100" s="12" t="str">
        <f aca="false">IF(F100="—","—",(LEN(F100)-LEN(SUBSTITUTE(F100,"S",""))+1)/(LEN(F100)+2))</f>
        <v>—</v>
      </c>
      <c r="H100" s="11" t="s">
        <v>54</v>
      </c>
      <c r="I100" s="11" t="s">
        <v>54</v>
      </c>
      <c r="J100" s="12" t="str">
        <f aca="false">IF(H100="—","—",'Quy tac'!$B$5^(I100/H100))</f>
        <v>—</v>
      </c>
      <c r="K100" s="9" t="str">
        <f aca="false">IF(H100="—","Câu mới",IF(I100&gt;=H100,"Có","Chưa"))</f>
        <v>Câu mới</v>
      </c>
      <c r="L100" s="11" t="s">
        <v>58</v>
      </c>
      <c r="M100" s="9" t="str">
        <f aca="false">RIGHT(IF(F100="—","",F100)&amp;IF(L100="Đúng","Đ","S"),'Quy tac'!$B$7)</f>
        <v>S</v>
      </c>
      <c r="N100" s="12" t="n">
        <f aca="false">(LEN(M100)-LEN(SUBSTITUTE(M100,"S",""))+1)/(LEN(M100)+2)</f>
        <v>0.666666666666667</v>
      </c>
      <c r="O100" s="9" t="n">
        <f aca="false">IF(H100="—",IF(L100="Đúng",INDEX('Quy tac'!$B$17:$B$22,2),INDEX('Quy tac'!$B$17:$B$22,1)),IF(L100="Sai",INDEX('Quy tac'!$B$17:$B$22,1),IF(I100&gt;=H100,INDEX('Quy tac'!$B$17:$B$22,MIN(MATCH(H100,'Quy tac'!$B$17:$B$22,0)+1,6)),H100)))</f>
        <v>1</v>
      </c>
      <c r="P100" s="10" t="n">
        <f aca="false">B100+O100</f>
        <v>18</v>
      </c>
      <c r="Q100" s="13" t="str">
        <f aca="false">IF(H100="—",IF(L100="Đúng","Lần đầu đúng → 3 ngày","Lần đầu sai → 1 ngày"),IF(L100="Sai","Sai → về 1 ngày",IF(I100&gt;=H100,"Đúng, đến hạn → lên 1 bậc","Đúng nhưng ôn sớm → giữ bậc")))</f>
        <v>Lần đầu sai → 1 ngày</v>
      </c>
    </row>
    <row r="101" customFormat="false" ht="15" hidden="false" customHeight="false" outlineLevel="0" collapsed="false">
      <c r="A101" s="9" t="n">
        <v>10</v>
      </c>
      <c r="B101" s="10" t="n">
        <v>17</v>
      </c>
      <c r="C101" s="9" t="n">
        <v>10</v>
      </c>
      <c r="D101" s="9" t="s">
        <v>113</v>
      </c>
      <c r="E101" s="9" t="s">
        <v>53</v>
      </c>
      <c r="F101" s="11" t="s">
        <v>54</v>
      </c>
      <c r="G101" s="12" t="str">
        <f aca="false">IF(F101="—","—",(LEN(F101)-LEN(SUBSTITUTE(F101,"S",""))+1)/(LEN(F101)+2))</f>
        <v>—</v>
      </c>
      <c r="H101" s="11" t="s">
        <v>54</v>
      </c>
      <c r="I101" s="11" t="s">
        <v>54</v>
      </c>
      <c r="J101" s="12" t="str">
        <f aca="false">IF(H101="—","—",'Quy tac'!$B$5^(I101/H101))</f>
        <v>—</v>
      </c>
      <c r="K101" s="9" t="str">
        <f aca="false">IF(H101="—","Câu mới",IF(I101&gt;=H101,"Có","Chưa"))</f>
        <v>Câu mới</v>
      </c>
      <c r="L101" s="11" t="s">
        <v>55</v>
      </c>
      <c r="M101" s="9" t="str">
        <f aca="false">RIGHT(IF(F101="—","",F101)&amp;IF(L101="Đúng","Đ","S"),'Quy tac'!$B$7)</f>
        <v>Đ</v>
      </c>
      <c r="N101" s="12" t="n">
        <f aca="false">(LEN(M101)-LEN(SUBSTITUTE(M101,"S",""))+1)/(LEN(M101)+2)</f>
        <v>0.333333333333333</v>
      </c>
      <c r="O101" s="9" t="n">
        <f aca="false">IF(H101="—",IF(L101="Đúng",INDEX('Quy tac'!$B$17:$B$22,2),INDEX('Quy tac'!$B$17:$B$22,1)),IF(L101="Sai",INDEX('Quy tac'!$B$17:$B$22,1),IF(I101&gt;=H101,INDEX('Quy tac'!$B$17:$B$22,MIN(MATCH(H101,'Quy tac'!$B$17:$B$22,0)+1,6)),H101)))</f>
        <v>3</v>
      </c>
      <c r="P101" s="10" t="n">
        <f aca="false">B101+O101</f>
        <v>20</v>
      </c>
      <c r="Q101" s="13" t="str">
        <f aca="false">IF(H101="—",IF(L101="Đúng","Lần đầu đúng → 3 ngày","Lần đầu sai → 1 ngày"),IF(L101="Sai","Sai → về 1 ngày",IF(I101&gt;=H101,"Đúng, đến hạn → lên 1 bậc","Đúng nhưng ôn sớm → giữ bậc")))</f>
        <v>Lần đầu đúng → 3 ngày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3" min="12" style="0" width="10"/>
  </cols>
  <sheetData>
    <row r="1" customFormat="false" ht="45" hidden="false" customHeight="true" outlineLevel="0" collapsed="false">
      <c r="A1" s="3" t="s">
        <v>35</v>
      </c>
      <c r="B1" s="3" t="s">
        <v>36</v>
      </c>
      <c r="C1" s="3" t="s">
        <v>114</v>
      </c>
      <c r="D1" s="3" t="s">
        <v>115</v>
      </c>
      <c r="E1" s="3" t="s">
        <v>116</v>
      </c>
      <c r="F1" s="3" t="s">
        <v>117</v>
      </c>
      <c r="G1" s="3" t="s">
        <v>118</v>
      </c>
      <c r="H1" s="3" t="s">
        <v>119</v>
      </c>
      <c r="I1" s="3" t="s">
        <v>120</v>
      </c>
      <c r="J1" s="3" t="s">
        <v>121</v>
      </c>
      <c r="K1" s="3" t="s">
        <v>122</v>
      </c>
      <c r="L1" s="3" t="s">
        <v>123</v>
      </c>
      <c r="M1" s="3" t="s">
        <v>124</v>
      </c>
    </row>
    <row r="2" customFormat="false" ht="15" hidden="false" customHeight="false" outlineLevel="0" collapsed="false">
      <c r="A2" s="24" t="n">
        <v>1</v>
      </c>
      <c r="B2" s="24" t="n">
        <v>1</v>
      </c>
      <c r="C2" s="25" t="n">
        <v>0</v>
      </c>
      <c r="D2" s="25" t="n">
        <v>50</v>
      </c>
      <c r="E2" s="25" t="n">
        <v>0</v>
      </c>
      <c r="F2" s="25" t="n">
        <v>0</v>
      </c>
      <c r="G2" s="25" t="n">
        <v>0</v>
      </c>
      <c r="H2" s="24" t="n">
        <f aca="false">COUNTIFS('Nhat ky'!$A$2:$A$101,A2,'Nhat ky'!$E$2:$E$101,"Yếu")</f>
        <v>0</v>
      </c>
      <c r="I2" s="24" t="n">
        <f aca="false">COUNTIFS('Nhat ky'!$A$2:$A$101,A2,'Nhat ky'!$E$2:$E$101,"Sắp quên")</f>
        <v>0</v>
      </c>
      <c r="J2" s="24" t="n">
        <f aca="false">COUNTIFS('Nhat ky'!$A$2:$A$101,A2,'Nhat ky'!$E$2:$E$101,"Mới")</f>
        <v>10</v>
      </c>
      <c r="K2" s="24" t="n">
        <f aca="false">COUNTIFS('Nhat ky'!$A$2:$A$101,A2,'Nhat ky'!$L$2:$L$101,"Đúng")</f>
        <v>7</v>
      </c>
      <c r="L2" s="24" t="str">
        <f aca="false">COUNTIFS('Nhat ky'!$A$2:$A$101,A2,'Nhat ky'!$E$2:$E$101,"Mới",'Nhat ky'!$L$2:$L$101,"Đúng")&amp;"/"&amp;J2</f>
        <v>7/10</v>
      </c>
      <c r="M2" s="24" t="str">
        <f aca="false">(K2-COUNTIFS('Nhat ky'!$A$2:$A$101,A2,'Nhat ky'!$E$2:$E$101,"Mới",'Nhat ky'!$L$2:$L$101,"Đúng"))&amp;"/"&amp;(10-J2)</f>
        <v>0/0</v>
      </c>
    </row>
    <row r="3" customFormat="false" ht="15" hidden="false" customHeight="false" outlineLevel="0" collapsed="false">
      <c r="A3" s="24" t="n">
        <v>2</v>
      </c>
      <c r="B3" s="24" t="n">
        <v>2</v>
      </c>
      <c r="C3" s="25" t="n">
        <v>10</v>
      </c>
      <c r="D3" s="25" t="n">
        <v>40</v>
      </c>
      <c r="E3" s="25" t="n">
        <v>0</v>
      </c>
      <c r="F3" s="25" t="n">
        <v>3</v>
      </c>
      <c r="G3" s="25" t="n">
        <v>3</v>
      </c>
      <c r="H3" s="24" t="n">
        <f aca="false">COUNTIFS('Nhat ky'!$A$2:$A$101,A3,'Nhat ky'!$E$2:$E$101,"Yếu")</f>
        <v>3</v>
      </c>
      <c r="I3" s="24" t="n">
        <f aca="false">COUNTIFS('Nhat ky'!$A$2:$A$101,A3,'Nhat ky'!$E$2:$E$101,"Sắp quên")</f>
        <v>0</v>
      </c>
      <c r="J3" s="24" t="n">
        <f aca="false">COUNTIFS('Nhat ky'!$A$2:$A$101,A3,'Nhat ky'!$E$2:$E$101,"Mới")</f>
        <v>7</v>
      </c>
      <c r="K3" s="24" t="n">
        <f aca="false">COUNTIFS('Nhat ky'!$A$2:$A$101,A3,'Nhat ky'!$L$2:$L$101,"Đúng")</f>
        <v>6</v>
      </c>
      <c r="L3" s="24" t="str">
        <f aca="false">COUNTIFS('Nhat ky'!$A$2:$A$101,A3,'Nhat ky'!$E$2:$E$101,"Mới",'Nhat ky'!$L$2:$L$101,"Đúng")&amp;"/"&amp;J3</f>
        <v>4/7</v>
      </c>
      <c r="M3" s="24" t="str">
        <f aca="false">(K3-COUNTIFS('Nhat ky'!$A$2:$A$101,A3,'Nhat ky'!$E$2:$E$101,"Mới",'Nhat ky'!$L$2:$L$101,"Đúng"))&amp;"/"&amp;(10-J3)</f>
        <v>2/3</v>
      </c>
    </row>
    <row r="4" customFormat="false" ht="15" hidden="false" customHeight="false" outlineLevel="0" collapsed="false">
      <c r="A4" s="24" t="n">
        <v>3</v>
      </c>
      <c r="B4" s="24" t="n">
        <v>3</v>
      </c>
      <c r="C4" s="25" t="n">
        <v>17</v>
      </c>
      <c r="D4" s="25" t="n">
        <v>33</v>
      </c>
      <c r="E4" s="25" t="n">
        <v>0</v>
      </c>
      <c r="F4" s="25" t="n">
        <v>6</v>
      </c>
      <c r="G4" s="25" t="n">
        <v>4</v>
      </c>
      <c r="H4" s="24" t="n">
        <f aca="false">COUNTIFS('Nhat ky'!$A$2:$A$101,A4,'Nhat ky'!$E$2:$E$101,"Yếu")</f>
        <v>6</v>
      </c>
      <c r="I4" s="24" t="n">
        <f aca="false">COUNTIFS('Nhat ky'!$A$2:$A$101,A4,'Nhat ky'!$E$2:$E$101,"Sắp quên")</f>
        <v>0</v>
      </c>
      <c r="J4" s="24" t="n">
        <f aca="false">COUNTIFS('Nhat ky'!$A$2:$A$101,A4,'Nhat ky'!$E$2:$E$101,"Mới")</f>
        <v>4</v>
      </c>
      <c r="K4" s="24" t="n">
        <f aca="false">COUNTIFS('Nhat ky'!$A$2:$A$101,A4,'Nhat ky'!$L$2:$L$101,"Đúng")</f>
        <v>5</v>
      </c>
      <c r="L4" s="24" t="str">
        <f aca="false">COUNTIFS('Nhat ky'!$A$2:$A$101,A4,'Nhat ky'!$E$2:$E$101,"Mới",'Nhat ky'!$L$2:$L$101,"Đúng")&amp;"/"&amp;J4</f>
        <v>3/4</v>
      </c>
      <c r="M4" s="24" t="str">
        <f aca="false">(K4-COUNTIFS('Nhat ky'!$A$2:$A$101,A4,'Nhat ky'!$E$2:$E$101,"Mới",'Nhat ky'!$L$2:$L$101,"Đúng"))&amp;"/"&amp;(10-J4)</f>
        <v>2/6</v>
      </c>
    </row>
    <row r="5" customFormat="false" ht="15" hidden="false" customHeight="false" outlineLevel="0" collapsed="false">
      <c r="A5" s="24" t="n">
        <v>4</v>
      </c>
      <c r="B5" s="24" t="n">
        <v>4</v>
      </c>
      <c r="C5" s="25" t="n">
        <v>21</v>
      </c>
      <c r="D5" s="25" t="n">
        <v>29</v>
      </c>
      <c r="E5" s="25" t="n">
        <v>0</v>
      </c>
      <c r="F5" s="25" t="n">
        <v>6</v>
      </c>
      <c r="G5" s="25" t="n">
        <v>12</v>
      </c>
      <c r="H5" s="24" t="n">
        <f aca="false">COUNTIFS('Nhat ky'!$A$2:$A$101,A5,'Nhat ky'!$E$2:$E$101,"Yếu")</f>
        <v>4</v>
      </c>
      <c r="I5" s="24" t="n">
        <f aca="false">COUNTIFS('Nhat ky'!$A$2:$A$101,A5,'Nhat ky'!$E$2:$E$101,"Sắp quên")</f>
        <v>3</v>
      </c>
      <c r="J5" s="24" t="n">
        <f aca="false">COUNTIFS('Nhat ky'!$A$2:$A$101,A5,'Nhat ky'!$E$2:$E$101,"Mới")</f>
        <v>3</v>
      </c>
      <c r="K5" s="24" t="n">
        <f aca="false">COUNTIFS('Nhat ky'!$A$2:$A$101,A5,'Nhat ky'!$L$2:$L$101,"Đúng")</f>
        <v>7</v>
      </c>
      <c r="L5" s="24" t="str">
        <f aca="false">COUNTIFS('Nhat ky'!$A$2:$A$101,A5,'Nhat ky'!$E$2:$E$101,"Mới",'Nhat ky'!$L$2:$L$101,"Đúng")&amp;"/"&amp;J5</f>
        <v>1/3</v>
      </c>
      <c r="M5" s="24" t="str">
        <f aca="false">(K5-COUNTIFS('Nhat ky'!$A$2:$A$101,A5,'Nhat ky'!$E$2:$E$101,"Mới",'Nhat ky'!$L$2:$L$101,"Đúng"))&amp;"/"&amp;(10-J5)</f>
        <v>6/7</v>
      </c>
    </row>
    <row r="6" customFormat="false" ht="15" hidden="false" customHeight="false" outlineLevel="0" collapsed="false">
      <c r="A6" s="24" t="n">
        <v>5</v>
      </c>
      <c r="B6" s="24" t="n">
        <v>5</v>
      </c>
      <c r="C6" s="25" t="n">
        <v>24</v>
      </c>
      <c r="D6" s="25" t="n">
        <v>26</v>
      </c>
      <c r="E6" s="25" t="n">
        <v>0</v>
      </c>
      <c r="F6" s="25" t="n">
        <v>9</v>
      </c>
      <c r="G6" s="25" t="n">
        <v>12</v>
      </c>
      <c r="H6" s="24" t="n">
        <f aca="false">COUNTIFS('Nhat ky'!$A$2:$A$101,A6,'Nhat ky'!$E$2:$E$101,"Yếu")</f>
        <v>4</v>
      </c>
      <c r="I6" s="24" t="n">
        <f aca="false">COUNTIFS('Nhat ky'!$A$2:$A$101,A6,'Nhat ky'!$E$2:$E$101,"Sắp quên")</f>
        <v>3</v>
      </c>
      <c r="J6" s="24" t="n">
        <f aca="false">COUNTIFS('Nhat ky'!$A$2:$A$101,A6,'Nhat ky'!$E$2:$E$101,"Mới")</f>
        <v>3</v>
      </c>
      <c r="K6" s="24" t="n">
        <f aca="false">COUNTIFS('Nhat ky'!$A$2:$A$101,A6,'Nhat ky'!$L$2:$L$101,"Đúng")</f>
        <v>6</v>
      </c>
      <c r="L6" s="24" t="str">
        <f aca="false">COUNTIFS('Nhat ky'!$A$2:$A$101,A6,'Nhat ky'!$E$2:$E$101,"Mới",'Nhat ky'!$L$2:$L$101,"Đúng")&amp;"/"&amp;J6</f>
        <v>2/3</v>
      </c>
      <c r="M6" s="24" t="str">
        <f aca="false">(K6-COUNTIFS('Nhat ky'!$A$2:$A$101,A6,'Nhat ky'!$E$2:$E$101,"Mới",'Nhat ky'!$L$2:$L$101,"Đúng"))&amp;"/"&amp;(10-J6)</f>
        <v>4/7</v>
      </c>
    </row>
    <row r="7" customFormat="false" ht="15" hidden="false" customHeight="false" outlineLevel="0" collapsed="false">
      <c r="A7" s="24" t="n">
        <v>6</v>
      </c>
      <c r="B7" s="24" t="n">
        <v>5.5</v>
      </c>
      <c r="C7" s="25" t="n">
        <v>27</v>
      </c>
      <c r="D7" s="25" t="n">
        <v>23</v>
      </c>
      <c r="E7" s="25" t="n">
        <v>10</v>
      </c>
      <c r="F7" s="25" t="n">
        <v>5</v>
      </c>
      <c r="G7" s="25" t="n">
        <v>7</v>
      </c>
      <c r="H7" s="24" t="n">
        <f aca="false">COUNTIFS('Nhat ky'!$A$2:$A$101,A7,'Nhat ky'!$E$2:$E$101,"Yếu")</f>
        <v>4</v>
      </c>
      <c r="I7" s="24" t="n">
        <f aca="false">COUNTIFS('Nhat ky'!$A$2:$A$101,A7,'Nhat ky'!$E$2:$E$101,"Sắp quên")</f>
        <v>3</v>
      </c>
      <c r="J7" s="24" t="n">
        <f aca="false">COUNTIFS('Nhat ky'!$A$2:$A$101,A7,'Nhat ky'!$E$2:$E$101,"Mới")</f>
        <v>3</v>
      </c>
      <c r="K7" s="24" t="n">
        <f aca="false">COUNTIFS('Nhat ky'!$A$2:$A$101,A7,'Nhat ky'!$L$2:$L$101,"Đúng")</f>
        <v>6</v>
      </c>
      <c r="L7" s="24" t="str">
        <f aca="false">COUNTIFS('Nhat ky'!$A$2:$A$101,A7,'Nhat ky'!$E$2:$E$101,"Mới",'Nhat ky'!$L$2:$L$101,"Đúng")&amp;"/"&amp;J7</f>
        <v>3/3</v>
      </c>
      <c r="M7" s="24" t="str">
        <f aca="false">(K7-COUNTIFS('Nhat ky'!$A$2:$A$101,A7,'Nhat ky'!$E$2:$E$101,"Mới",'Nhat ky'!$L$2:$L$101,"Đúng"))&amp;"/"&amp;(10-J7)</f>
        <v>3/7</v>
      </c>
    </row>
    <row r="8" customFormat="false" ht="15" hidden="false" customHeight="false" outlineLevel="0" collapsed="false">
      <c r="A8" s="24" t="n">
        <v>7</v>
      </c>
      <c r="B8" s="24" t="n">
        <v>8</v>
      </c>
      <c r="C8" s="25" t="n">
        <v>30</v>
      </c>
      <c r="D8" s="25" t="n">
        <v>20</v>
      </c>
      <c r="E8" s="25" t="n">
        <v>0</v>
      </c>
      <c r="F8" s="25" t="n">
        <v>14</v>
      </c>
      <c r="G8" s="25" t="n">
        <v>23</v>
      </c>
      <c r="H8" s="24" t="n">
        <f aca="false">COUNTIFS('Nhat ky'!$A$2:$A$101,A8,'Nhat ky'!$E$2:$E$101,"Yếu")</f>
        <v>4</v>
      </c>
      <c r="I8" s="24" t="n">
        <f aca="false">COUNTIFS('Nhat ky'!$A$2:$A$101,A8,'Nhat ky'!$E$2:$E$101,"Sắp quên")</f>
        <v>3</v>
      </c>
      <c r="J8" s="24" t="n">
        <f aca="false">COUNTIFS('Nhat ky'!$A$2:$A$101,A8,'Nhat ky'!$E$2:$E$101,"Mới")</f>
        <v>3</v>
      </c>
      <c r="K8" s="24" t="n">
        <f aca="false">COUNTIFS('Nhat ky'!$A$2:$A$101,A8,'Nhat ky'!$L$2:$L$101,"Đúng")</f>
        <v>9</v>
      </c>
      <c r="L8" s="24" t="str">
        <f aca="false">COUNTIFS('Nhat ky'!$A$2:$A$101,A8,'Nhat ky'!$E$2:$E$101,"Mới",'Nhat ky'!$L$2:$L$101,"Đúng")&amp;"/"&amp;J8</f>
        <v>2/3</v>
      </c>
      <c r="M8" s="24" t="str">
        <f aca="false">(K8-COUNTIFS('Nhat ky'!$A$2:$A$101,A8,'Nhat ky'!$E$2:$E$101,"Mới",'Nhat ky'!$L$2:$L$101,"Đúng"))&amp;"/"&amp;(10-J8)</f>
        <v>7/7</v>
      </c>
    </row>
    <row r="9" customFormat="false" ht="15" hidden="false" customHeight="false" outlineLevel="0" collapsed="false">
      <c r="A9" s="24" t="n">
        <v>8</v>
      </c>
      <c r="B9" s="24" t="n">
        <v>10</v>
      </c>
      <c r="C9" s="25" t="n">
        <v>33</v>
      </c>
      <c r="D9" s="25" t="n">
        <v>17</v>
      </c>
      <c r="E9" s="25" t="n">
        <v>0</v>
      </c>
      <c r="F9" s="25" t="n">
        <v>11</v>
      </c>
      <c r="G9" s="25" t="n">
        <v>22</v>
      </c>
      <c r="H9" s="24" t="n">
        <f aca="false">COUNTIFS('Nhat ky'!$A$2:$A$101,A9,'Nhat ky'!$E$2:$E$101,"Yếu")</f>
        <v>4</v>
      </c>
      <c r="I9" s="24" t="n">
        <f aca="false">COUNTIFS('Nhat ky'!$A$2:$A$101,A9,'Nhat ky'!$E$2:$E$101,"Sắp quên")</f>
        <v>3</v>
      </c>
      <c r="J9" s="24" t="n">
        <f aca="false">COUNTIFS('Nhat ky'!$A$2:$A$101,A9,'Nhat ky'!$E$2:$E$101,"Mới")</f>
        <v>3</v>
      </c>
      <c r="K9" s="24" t="n">
        <f aca="false">COUNTIFS('Nhat ky'!$A$2:$A$101,A9,'Nhat ky'!$L$2:$L$101,"Đúng")</f>
        <v>5</v>
      </c>
      <c r="L9" s="24" t="str">
        <f aca="false">COUNTIFS('Nhat ky'!$A$2:$A$101,A9,'Nhat ky'!$E$2:$E$101,"Mới",'Nhat ky'!$L$2:$L$101,"Đúng")&amp;"/"&amp;J9</f>
        <v>2/3</v>
      </c>
      <c r="M9" s="24" t="str">
        <f aca="false">(K9-COUNTIFS('Nhat ky'!$A$2:$A$101,A9,'Nhat ky'!$E$2:$E$101,"Mới",'Nhat ky'!$L$2:$L$101,"Đúng"))&amp;"/"&amp;(10-J9)</f>
        <v>3/7</v>
      </c>
    </row>
    <row r="10" customFormat="false" ht="15" hidden="false" customHeight="false" outlineLevel="0" collapsed="false">
      <c r="A10" s="24" t="n">
        <v>9</v>
      </c>
      <c r="B10" s="24" t="n">
        <v>13</v>
      </c>
      <c r="C10" s="25" t="n">
        <v>36</v>
      </c>
      <c r="D10" s="25" t="n">
        <v>14</v>
      </c>
      <c r="E10" s="25" t="n">
        <v>0</v>
      </c>
      <c r="F10" s="25" t="n">
        <v>13</v>
      </c>
      <c r="G10" s="25" t="n">
        <v>34</v>
      </c>
      <c r="H10" s="24" t="n">
        <f aca="false">COUNTIFS('Nhat ky'!$A$2:$A$101,A10,'Nhat ky'!$E$2:$E$101,"Yếu")</f>
        <v>4</v>
      </c>
      <c r="I10" s="24" t="n">
        <f aca="false">COUNTIFS('Nhat ky'!$A$2:$A$101,A10,'Nhat ky'!$E$2:$E$101,"Sắp quên")</f>
        <v>3</v>
      </c>
      <c r="J10" s="24" t="n">
        <f aca="false">COUNTIFS('Nhat ky'!$A$2:$A$101,A10,'Nhat ky'!$E$2:$E$101,"Mới")</f>
        <v>3</v>
      </c>
      <c r="K10" s="24" t="n">
        <f aca="false">COUNTIFS('Nhat ky'!$A$2:$A$101,A10,'Nhat ky'!$L$2:$L$101,"Đúng")</f>
        <v>4</v>
      </c>
      <c r="L10" s="24" t="str">
        <f aca="false">COUNTIFS('Nhat ky'!$A$2:$A$101,A10,'Nhat ky'!$E$2:$E$101,"Mới",'Nhat ky'!$L$2:$L$101,"Đúng")&amp;"/"&amp;J10</f>
        <v>1/3</v>
      </c>
      <c r="M10" s="24" t="str">
        <f aca="false">(K10-COUNTIFS('Nhat ky'!$A$2:$A$101,A10,'Nhat ky'!$E$2:$E$101,"Mới",'Nhat ky'!$L$2:$L$101,"Đúng"))&amp;"/"&amp;(10-J10)</f>
        <v>3/7</v>
      </c>
    </row>
    <row r="11" customFormat="false" ht="15" hidden="false" customHeight="false" outlineLevel="0" collapsed="false">
      <c r="A11" s="24" t="n">
        <v>10</v>
      </c>
      <c r="B11" s="24" t="n">
        <v>17</v>
      </c>
      <c r="C11" s="25" t="n">
        <v>39</v>
      </c>
      <c r="D11" s="25" t="n">
        <v>11</v>
      </c>
      <c r="E11" s="25" t="n">
        <v>0</v>
      </c>
      <c r="F11" s="25" t="n">
        <v>15</v>
      </c>
      <c r="G11" s="25" t="n">
        <v>37</v>
      </c>
      <c r="H11" s="24" t="n">
        <f aca="false">COUNTIFS('Nhat ky'!$A$2:$A$101,A11,'Nhat ky'!$E$2:$E$101,"Yếu")</f>
        <v>4</v>
      </c>
      <c r="I11" s="24" t="n">
        <f aca="false">COUNTIFS('Nhat ky'!$A$2:$A$101,A11,'Nhat ky'!$E$2:$E$101,"Sắp quên")</f>
        <v>3</v>
      </c>
      <c r="J11" s="24" t="n">
        <f aca="false">COUNTIFS('Nhat ky'!$A$2:$A$101,A11,'Nhat ky'!$E$2:$E$101,"Mới")</f>
        <v>3</v>
      </c>
      <c r="K11" s="24" t="n">
        <f aca="false">COUNTIFS('Nhat ky'!$A$2:$A$101,A11,'Nhat ky'!$L$2:$L$101,"Đúng")</f>
        <v>5</v>
      </c>
      <c r="L11" s="24" t="str">
        <f aca="false">COUNTIFS('Nhat ky'!$A$2:$A$101,A11,'Nhat ky'!$E$2:$E$101,"Mới",'Nhat ky'!$L$2:$L$101,"Đúng")&amp;"/"&amp;J11</f>
        <v>2/3</v>
      </c>
      <c r="M11" s="24" t="str">
        <f aca="false">(K11-COUNTIFS('Nhat ky'!$A$2:$A$101,A11,'Nhat ky'!$E$2:$E$101,"Mới",'Nhat ky'!$L$2:$L$101,"Đúng"))&amp;"/"&amp;(10-J11)</f>
        <v>3/7</v>
      </c>
    </row>
    <row r="13" customFormat="false" ht="15" hidden="false" customHeight="false" outlineLevel="0" collapsed="false">
      <c r="A13" s="2" t="s">
        <v>125</v>
      </c>
    </row>
    <row r="14" customFormat="false" ht="15" hidden="false" customHeight="false" outlineLevel="0" collapsed="false">
      <c r="A14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0" t="s">
        <v>128</v>
      </c>
      <c r="B2" s="7" t="n">
        <v>17</v>
      </c>
    </row>
    <row r="4" customFormat="false" ht="45" hidden="false" customHeight="true" outlineLevel="0" collapsed="false">
      <c r="A4" s="3" t="s">
        <v>38</v>
      </c>
      <c r="B4" s="3" t="s">
        <v>129</v>
      </c>
      <c r="C4" s="3" t="s">
        <v>130</v>
      </c>
      <c r="D4" s="3" t="s">
        <v>131</v>
      </c>
      <c r="E4" s="3" t="s">
        <v>21</v>
      </c>
      <c r="F4" s="3" t="s">
        <v>132</v>
      </c>
      <c r="G4" s="3" t="s">
        <v>133</v>
      </c>
      <c r="H4" s="3" t="s">
        <v>134</v>
      </c>
      <c r="I4" s="3" t="s">
        <v>135</v>
      </c>
      <c r="J4" s="3" t="s">
        <v>136</v>
      </c>
      <c r="L4" s="8" t="s">
        <v>137</v>
      </c>
    </row>
    <row r="5" customFormat="false" ht="15" hidden="false" customHeight="false" outlineLevel="0" collapsed="false">
      <c r="A5" s="24" t="s">
        <v>52</v>
      </c>
      <c r="B5" s="24" t="n">
        <v>4</v>
      </c>
      <c r="C5" s="25" t="s">
        <v>138</v>
      </c>
      <c r="D5" s="26" t="n">
        <f aca="false">(LEN(C5)-LEN(SUBSTITUTE(C5,"S",""))+1)/(LEN(C5)+2)</f>
        <v>0.5</v>
      </c>
      <c r="E5" s="25" t="n">
        <v>3</v>
      </c>
      <c r="F5" s="25" t="n">
        <v>8</v>
      </c>
      <c r="G5" s="24" t="n">
        <f aca="false">$B$2-F5</f>
        <v>9</v>
      </c>
      <c r="H5" s="26" t="n">
        <f aca="false">'Quy tac'!$B$5^(G5/E5)</f>
        <v>0.729</v>
      </c>
      <c r="I5" s="24" t="n">
        <f aca="false">F5+E5</f>
        <v>11</v>
      </c>
      <c r="J5" s="24" t="str">
        <f aca="false">IF(AND(D5&gt;='Quy tac'!$B$6,G5&gt;=E5),"Yếu + sắp quên",IF(D5&gt;='Quy tac'!$B$6,"Yếu",IF(G5&gt;=E5,"Sắp quên","Ổn định")))</f>
        <v>Yếu + sắp quên</v>
      </c>
      <c r="L5" s="4" t="s">
        <v>139</v>
      </c>
      <c r="M5" s="4" t="n">
        <f aca="false">COUNTIF($J$5:$J$54,L5)</f>
        <v>8</v>
      </c>
    </row>
    <row r="6" customFormat="false" ht="15" hidden="false" customHeight="false" outlineLevel="0" collapsed="false">
      <c r="A6" s="24" t="s">
        <v>56</v>
      </c>
      <c r="B6" s="24" t="n">
        <v>2</v>
      </c>
      <c r="C6" s="25" t="s">
        <v>140</v>
      </c>
      <c r="D6" s="26" t="n">
        <f aca="false">(LEN(C6)-LEN(SUBSTITUTE(C6,"S",""))+1)/(LEN(C6)+2)</f>
        <v>0.25</v>
      </c>
      <c r="E6" s="25" t="n">
        <v>7</v>
      </c>
      <c r="F6" s="25" t="n">
        <v>4</v>
      </c>
      <c r="G6" s="24" t="n">
        <f aca="false">$B$2-F6</f>
        <v>13</v>
      </c>
      <c r="H6" s="26" t="n">
        <f aca="false">'Quy tac'!$B$5^(G6/E6)</f>
        <v>0.822283930709948</v>
      </c>
      <c r="I6" s="24" t="n">
        <f aca="false">F6+E6</f>
        <v>11</v>
      </c>
      <c r="J6" s="24" t="str">
        <f aca="false">IF(AND(D6&gt;='Quy tac'!$B$6,G6&gt;=E6),"Yếu + sắp quên",IF(D6&gt;='Quy tac'!$B$6,"Yếu",IF(G6&gt;=E6,"Sắp quên","Ổn định")))</f>
        <v>Sắp quên</v>
      </c>
      <c r="L6" s="4" t="s">
        <v>66</v>
      </c>
      <c r="M6" s="4" t="n">
        <f aca="false">COUNTIF($J$5:$J$54,L6)</f>
        <v>7</v>
      </c>
    </row>
    <row r="7" customFormat="false" ht="15" hidden="false" customHeight="false" outlineLevel="0" collapsed="false">
      <c r="A7" s="24" t="s">
        <v>57</v>
      </c>
      <c r="B7" s="24" t="n">
        <v>6</v>
      </c>
      <c r="C7" s="25" t="s">
        <v>141</v>
      </c>
      <c r="D7" s="26" t="n">
        <f aca="false">(LEN(C7)-LEN(SUBSTITUTE(C7,"S",""))+1)/(LEN(C7)+2)</f>
        <v>0.428571428571429</v>
      </c>
      <c r="E7" s="25" t="n">
        <v>7</v>
      </c>
      <c r="F7" s="25" t="n">
        <v>8</v>
      </c>
      <c r="G7" s="24" t="n">
        <f aca="false">$B$2-F7</f>
        <v>9</v>
      </c>
      <c r="H7" s="26" t="n">
        <f aca="false">'Quy tac'!$B$5^(G7/E7)</f>
        <v>0.873311020618593</v>
      </c>
      <c r="I7" s="24" t="n">
        <f aca="false">F7+E7</f>
        <v>15</v>
      </c>
      <c r="J7" s="24" t="str">
        <f aca="false">IF(AND(D7&gt;='Quy tac'!$B$6,G7&gt;=E7),"Yếu + sắp quên",IF(D7&gt;='Quy tac'!$B$6,"Yếu",IF(G7&gt;=E7,"Sắp quên","Ổn định")))</f>
        <v>Sắp quên</v>
      </c>
      <c r="L7" s="4" t="s">
        <v>82</v>
      </c>
      <c r="M7" s="4" t="n">
        <f aca="false">COUNTIF($J$5:$J$54,L7)</f>
        <v>20</v>
      </c>
    </row>
    <row r="8" customFormat="false" ht="15" hidden="false" customHeight="false" outlineLevel="0" collapsed="false">
      <c r="A8" s="24" t="s">
        <v>59</v>
      </c>
      <c r="B8" s="24" t="n">
        <v>3</v>
      </c>
      <c r="C8" s="25" t="s">
        <v>142</v>
      </c>
      <c r="D8" s="26" t="n">
        <f aca="false">(LEN(C8)-LEN(SUBSTITUTE(C8,"S",""))+1)/(LEN(C8)+2)</f>
        <v>0.4</v>
      </c>
      <c r="E8" s="25" t="n">
        <v>3</v>
      </c>
      <c r="F8" s="25" t="n">
        <v>8</v>
      </c>
      <c r="G8" s="24" t="n">
        <f aca="false">$B$2-F8</f>
        <v>9</v>
      </c>
      <c r="H8" s="26" t="n">
        <f aca="false">'Quy tac'!$B$5^(G8/E8)</f>
        <v>0.729</v>
      </c>
      <c r="I8" s="24" t="n">
        <f aca="false">F8+E8</f>
        <v>11</v>
      </c>
      <c r="J8" s="24" t="str">
        <f aca="false">IF(AND(D8&gt;='Quy tac'!$B$6,G8&gt;=E8),"Yếu + sắp quên",IF(D8&gt;='Quy tac'!$B$6,"Yếu",IF(G8&gt;=E8,"Sắp quên","Ổn định")))</f>
        <v>Sắp quên</v>
      </c>
      <c r="L8" s="4" t="s">
        <v>143</v>
      </c>
      <c r="M8" s="4" t="n">
        <f aca="false">COUNTIF($J$5:$J$54,L8)</f>
        <v>10</v>
      </c>
    </row>
    <row r="9" customFormat="false" ht="15" hidden="false" customHeight="false" outlineLevel="0" collapsed="false">
      <c r="A9" s="24" t="s">
        <v>60</v>
      </c>
      <c r="B9" s="24" t="n">
        <v>5</v>
      </c>
      <c r="C9" s="25" t="s">
        <v>144</v>
      </c>
      <c r="D9" s="26" t="n">
        <f aca="false">(LEN(C9)-LEN(SUBSTITUTE(C9,"S",""))+1)/(LEN(C9)+2)</f>
        <v>0.428571428571429</v>
      </c>
      <c r="E9" s="25" t="n">
        <v>3</v>
      </c>
      <c r="F9" s="25" t="n">
        <v>5.5</v>
      </c>
      <c r="G9" s="24" t="n">
        <f aca="false">$B$2-F9</f>
        <v>11.5</v>
      </c>
      <c r="H9" s="26" t="n">
        <f aca="false">'Quy tac'!$B$5^(G9/E9)</f>
        <v>0.667722923489293</v>
      </c>
      <c r="I9" s="24" t="n">
        <f aca="false">F9+E9</f>
        <v>8.5</v>
      </c>
      <c r="J9" s="24" t="str">
        <f aca="false">IF(AND(D9&gt;='Quy tac'!$B$6,G9&gt;=E9),"Yếu + sắp quên",IF(D9&gt;='Quy tac'!$B$6,"Yếu",IF(G9&gt;=E9,"Sắp quên","Ổn định")))</f>
        <v>Sắp quên</v>
      </c>
      <c r="L9" s="4" t="s">
        <v>145</v>
      </c>
      <c r="M9" s="4" t="n">
        <f aca="false">COUNTIF($J$5:$J$54,L9)</f>
        <v>5</v>
      </c>
    </row>
    <row r="10" customFormat="false" ht="15" hidden="false" customHeight="false" outlineLevel="0" collapsed="false">
      <c r="A10" s="24" t="s">
        <v>61</v>
      </c>
      <c r="B10" s="24" t="n">
        <v>3</v>
      </c>
      <c r="C10" s="25" t="s">
        <v>142</v>
      </c>
      <c r="D10" s="26" t="n">
        <f aca="false">(LEN(C10)-LEN(SUBSTITUTE(C10,"S",""))+1)/(LEN(C10)+2)</f>
        <v>0.4</v>
      </c>
      <c r="E10" s="25" t="n">
        <v>3</v>
      </c>
      <c r="F10" s="25" t="n">
        <v>8</v>
      </c>
      <c r="G10" s="24" t="n">
        <f aca="false">$B$2-F10</f>
        <v>9</v>
      </c>
      <c r="H10" s="26" t="n">
        <f aca="false">'Quy tac'!$B$5^(G10/E10)</f>
        <v>0.729</v>
      </c>
      <c r="I10" s="24" t="n">
        <f aca="false">F10+E10</f>
        <v>11</v>
      </c>
      <c r="J10" s="24" t="str">
        <f aca="false">IF(AND(D10&gt;='Quy tac'!$B$6,G10&gt;=E10),"Yếu + sắp quên",IF(D10&gt;='Quy tac'!$B$6,"Yếu",IF(G10&gt;=E10,"Sắp quên","Ổn định")))</f>
        <v>Sắp quên</v>
      </c>
    </row>
    <row r="11" customFormat="false" ht="15" hidden="false" customHeight="false" outlineLevel="0" collapsed="false">
      <c r="A11" s="24" t="s">
        <v>62</v>
      </c>
      <c r="B11" s="24" t="n">
        <v>3</v>
      </c>
      <c r="C11" s="25" t="s">
        <v>142</v>
      </c>
      <c r="D11" s="26" t="n">
        <f aca="false">(LEN(C11)-LEN(SUBSTITUTE(C11,"S",""))+1)/(LEN(C11)+2)</f>
        <v>0.4</v>
      </c>
      <c r="E11" s="25" t="n">
        <v>3</v>
      </c>
      <c r="F11" s="25" t="n">
        <v>8</v>
      </c>
      <c r="G11" s="24" t="n">
        <f aca="false">$B$2-F11</f>
        <v>9</v>
      </c>
      <c r="H11" s="26" t="n">
        <f aca="false">'Quy tac'!$B$5^(G11/E11)</f>
        <v>0.729</v>
      </c>
      <c r="I11" s="24" t="n">
        <f aca="false">F11+E11</f>
        <v>11</v>
      </c>
      <c r="J11" s="24" t="str">
        <f aca="false">IF(AND(D11&gt;='Quy tac'!$B$6,G11&gt;=E11),"Yếu + sắp quên",IF(D11&gt;='Quy tac'!$B$6,"Yếu",IF(G11&gt;=E11,"Sắp quên","Ổn định")))</f>
        <v>Sắp quên</v>
      </c>
    </row>
    <row r="12" customFormat="false" ht="15" hidden="false" customHeight="false" outlineLevel="0" collapsed="false">
      <c r="A12" s="24" t="s">
        <v>63</v>
      </c>
      <c r="B12" s="24" t="n">
        <v>2</v>
      </c>
      <c r="C12" s="25" t="s">
        <v>140</v>
      </c>
      <c r="D12" s="26" t="n">
        <f aca="false">(LEN(C12)-LEN(SUBSTITUTE(C12,"S",""))+1)/(LEN(C12)+2)</f>
        <v>0.25</v>
      </c>
      <c r="E12" s="25" t="n">
        <v>7</v>
      </c>
      <c r="F12" s="25" t="n">
        <v>5.5</v>
      </c>
      <c r="G12" s="24" t="n">
        <f aca="false">$B$2-F12</f>
        <v>11.5</v>
      </c>
      <c r="H12" s="26" t="n">
        <f aca="false">'Quy tac'!$B$5^(G12/E12)</f>
        <v>0.841060001843543</v>
      </c>
      <c r="I12" s="24" t="n">
        <f aca="false">F12+E12</f>
        <v>12.5</v>
      </c>
      <c r="J12" s="24" t="str">
        <f aca="false">IF(AND(D12&gt;='Quy tac'!$B$6,G12&gt;=E12),"Yếu + sắp quên",IF(D12&gt;='Quy tac'!$B$6,"Yếu",IF(G12&gt;=E12,"Sắp quên","Ổn định")))</f>
        <v>Sắp quên</v>
      </c>
    </row>
    <row r="13" customFormat="false" ht="15" hidden="false" customHeight="false" outlineLevel="0" collapsed="false">
      <c r="A13" s="24" t="s">
        <v>64</v>
      </c>
      <c r="B13" s="24" t="n">
        <v>5</v>
      </c>
      <c r="C13" s="25" t="s">
        <v>146</v>
      </c>
      <c r="D13" s="26" t="n">
        <f aca="false">(LEN(C13)-LEN(SUBSTITUTE(C13,"S",""))+1)/(LEN(C13)+2)</f>
        <v>0.571428571428571</v>
      </c>
      <c r="E13" s="25" t="n">
        <v>3</v>
      </c>
      <c r="F13" s="25" t="n">
        <v>17</v>
      </c>
      <c r="G13" s="24" t="n">
        <f aca="false">$B$2-F13</f>
        <v>0</v>
      </c>
      <c r="H13" s="26" t="n">
        <f aca="false">'Quy tac'!$B$5^(G13/E13)</f>
        <v>1</v>
      </c>
      <c r="I13" s="24" t="n">
        <f aca="false">F13+E13</f>
        <v>20</v>
      </c>
      <c r="J13" s="24" t="str">
        <f aca="false">IF(AND(D13&gt;='Quy tac'!$B$6,G13&gt;=E13),"Yếu + sắp quên",IF(D13&gt;='Quy tac'!$B$6,"Yếu",IF(G13&gt;=E13,"Sắp quên","Ổn định")))</f>
        <v>Yếu</v>
      </c>
    </row>
    <row r="14" customFormat="false" ht="15" hidden="false" customHeight="false" outlineLevel="0" collapsed="false">
      <c r="A14" s="24" t="s">
        <v>65</v>
      </c>
      <c r="B14" s="24" t="n">
        <v>4</v>
      </c>
      <c r="C14" s="25" t="s">
        <v>147</v>
      </c>
      <c r="D14" s="26" t="n">
        <f aca="false">(LEN(C14)-LEN(SUBSTITUTE(C14,"S",""))+1)/(LEN(C14)+2)</f>
        <v>0.5</v>
      </c>
      <c r="E14" s="25" t="n">
        <v>1</v>
      </c>
      <c r="F14" s="25" t="n">
        <v>13</v>
      </c>
      <c r="G14" s="24" t="n">
        <f aca="false">$B$2-F14</f>
        <v>4</v>
      </c>
      <c r="H14" s="26" t="n">
        <f aca="false">'Quy tac'!$B$5^(G14/E14)</f>
        <v>0.6561</v>
      </c>
      <c r="I14" s="24" t="n">
        <f aca="false">F14+E14</f>
        <v>14</v>
      </c>
      <c r="J14" s="24" t="str">
        <f aca="false">IF(AND(D14&gt;='Quy tac'!$B$6,G14&gt;=E14),"Yếu + sắp quên",IF(D14&gt;='Quy tac'!$B$6,"Yếu",IF(G14&gt;=E14,"Sắp quên","Ổn định")))</f>
        <v>Yếu + sắp quên</v>
      </c>
    </row>
    <row r="15" customFormat="false" ht="15" hidden="false" customHeight="false" outlineLevel="0" collapsed="false">
      <c r="A15" s="24" t="s">
        <v>68</v>
      </c>
      <c r="B15" s="24" t="n">
        <v>3</v>
      </c>
      <c r="C15" s="25" t="s">
        <v>142</v>
      </c>
      <c r="D15" s="26" t="n">
        <f aca="false">(LEN(C15)-LEN(SUBSTITUTE(C15,"S",""))+1)/(LEN(C15)+2)</f>
        <v>0.4</v>
      </c>
      <c r="E15" s="25" t="n">
        <v>3</v>
      </c>
      <c r="F15" s="25" t="n">
        <v>10</v>
      </c>
      <c r="G15" s="24" t="n">
        <f aca="false">$B$2-F15</f>
        <v>7</v>
      </c>
      <c r="H15" s="26" t="n">
        <f aca="false">'Quy tac'!$B$5^(G15/E15)</f>
        <v>0.78204640153056</v>
      </c>
      <c r="I15" s="24" t="n">
        <f aca="false">F15+E15</f>
        <v>13</v>
      </c>
      <c r="J15" s="24" t="str">
        <f aca="false">IF(AND(D15&gt;='Quy tac'!$B$6,G15&gt;=E15),"Yếu + sắp quên",IF(D15&gt;='Quy tac'!$B$6,"Yếu",IF(G15&gt;=E15,"Sắp quên","Ổn định")))</f>
        <v>Sắp quên</v>
      </c>
    </row>
    <row r="16" customFormat="false" ht="15" hidden="false" customHeight="false" outlineLevel="0" collapsed="false">
      <c r="A16" s="24" t="s">
        <v>69</v>
      </c>
      <c r="B16" s="24" t="n">
        <v>3</v>
      </c>
      <c r="C16" s="25" t="s">
        <v>98</v>
      </c>
      <c r="D16" s="26" t="n">
        <f aca="false">(LEN(C16)-LEN(SUBSTITUTE(C16,"S",""))+1)/(LEN(C16)+2)</f>
        <v>0.6</v>
      </c>
      <c r="E16" s="25" t="n">
        <v>1</v>
      </c>
      <c r="F16" s="25" t="n">
        <v>13</v>
      </c>
      <c r="G16" s="24" t="n">
        <f aca="false">$B$2-F16</f>
        <v>4</v>
      </c>
      <c r="H16" s="26" t="n">
        <f aca="false">'Quy tac'!$B$5^(G16/E16)</f>
        <v>0.6561</v>
      </c>
      <c r="I16" s="24" t="n">
        <f aca="false">F16+E16</f>
        <v>14</v>
      </c>
      <c r="J16" s="24" t="str">
        <f aca="false">IF(AND(D16&gt;='Quy tac'!$B$6,G16&gt;=E16),"Yếu + sắp quên",IF(D16&gt;='Quy tac'!$B$6,"Yếu",IF(G16&gt;=E16,"Sắp quên","Ổn định")))</f>
        <v>Yếu + sắp quên</v>
      </c>
    </row>
    <row r="17" customFormat="false" ht="15" hidden="false" customHeight="false" outlineLevel="0" collapsed="false">
      <c r="A17" s="24" t="s">
        <v>70</v>
      </c>
      <c r="B17" s="24" t="n">
        <v>3</v>
      </c>
      <c r="C17" s="25" t="s">
        <v>142</v>
      </c>
      <c r="D17" s="26" t="n">
        <f aca="false">(LEN(C17)-LEN(SUBSTITUTE(C17,"S",""))+1)/(LEN(C17)+2)</f>
        <v>0.4</v>
      </c>
      <c r="E17" s="25" t="n">
        <v>3</v>
      </c>
      <c r="F17" s="25" t="n">
        <v>13</v>
      </c>
      <c r="G17" s="24" t="n">
        <f aca="false">$B$2-F17</f>
        <v>4</v>
      </c>
      <c r="H17" s="26" t="n">
        <f aca="false">'Quy tac'!$B$5^(G17/E17)</f>
        <v>0.868940446145067</v>
      </c>
      <c r="I17" s="24" t="n">
        <f aca="false">F17+E17</f>
        <v>16</v>
      </c>
      <c r="J17" s="24" t="str">
        <f aca="false">IF(AND(D17&gt;='Quy tac'!$B$6,G17&gt;=E17),"Yếu + sắp quên",IF(D17&gt;='Quy tac'!$B$6,"Yếu",IF(G17&gt;=E17,"Sắp quên","Ổn định")))</f>
        <v>Sắp quên</v>
      </c>
    </row>
    <row r="18" customFormat="false" ht="15" hidden="false" customHeight="false" outlineLevel="0" collapsed="false">
      <c r="A18" s="24" t="s">
        <v>71</v>
      </c>
      <c r="B18" s="24" t="n">
        <v>4</v>
      </c>
      <c r="C18" s="25" t="s">
        <v>148</v>
      </c>
      <c r="D18" s="26" t="n">
        <f aca="false">(LEN(C18)-LEN(SUBSTITUTE(C18,"S",""))+1)/(LEN(C18)+2)</f>
        <v>0.5</v>
      </c>
      <c r="E18" s="25" t="n">
        <v>3</v>
      </c>
      <c r="F18" s="25" t="n">
        <v>5</v>
      </c>
      <c r="G18" s="24" t="n">
        <f aca="false">$B$2-F18</f>
        <v>12</v>
      </c>
      <c r="H18" s="26" t="n">
        <f aca="false">'Quy tac'!$B$5^(G18/E18)</f>
        <v>0.6561</v>
      </c>
      <c r="I18" s="24" t="n">
        <f aca="false">F18+E18</f>
        <v>8</v>
      </c>
      <c r="J18" s="24" t="str">
        <f aca="false">IF(AND(D18&gt;='Quy tac'!$B$6,G18&gt;=E18),"Yếu + sắp quên",IF(D18&gt;='Quy tac'!$B$6,"Yếu",IF(G18&gt;=E18,"Sắp quên","Ổn định")))</f>
        <v>Yếu + sắp quên</v>
      </c>
    </row>
    <row r="19" customFormat="false" ht="15" hidden="false" customHeight="false" outlineLevel="0" collapsed="false">
      <c r="A19" s="24" t="s">
        <v>72</v>
      </c>
      <c r="B19" s="24" t="n">
        <v>4</v>
      </c>
      <c r="C19" s="25" t="s">
        <v>94</v>
      </c>
      <c r="D19" s="26" t="n">
        <f aca="false">(LEN(C19)-LEN(SUBSTITUTE(C19,"S",""))+1)/(LEN(C19)+2)</f>
        <v>0.5</v>
      </c>
      <c r="E19" s="25" t="n">
        <v>3</v>
      </c>
      <c r="F19" s="25" t="n">
        <v>8</v>
      </c>
      <c r="G19" s="24" t="n">
        <f aca="false">$B$2-F19</f>
        <v>9</v>
      </c>
      <c r="H19" s="26" t="n">
        <f aca="false">'Quy tac'!$B$5^(G19/E19)</f>
        <v>0.729</v>
      </c>
      <c r="I19" s="24" t="n">
        <f aca="false">F19+E19</f>
        <v>11</v>
      </c>
      <c r="J19" s="24" t="str">
        <f aca="false">IF(AND(D19&gt;='Quy tac'!$B$6,G19&gt;=E19),"Yếu + sắp quên",IF(D19&gt;='Quy tac'!$B$6,"Yếu",IF(G19&gt;=E19,"Sắp quên","Ổn định")))</f>
        <v>Yếu + sắp quên</v>
      </c>
    </row>
    <row r="20" customFormat="false" ht="15" hidden="false" customHeight="false" outlineLevel="0" collapsed="false">
      <c r="A20" s="24" t="s">
        <v>73</v>
      </c>
      <c r="B20" s="24" t="n">
        <v>3</v>
      </c>
      <c r="C20" s="25" t="s">
        <v>98</v>
      </c>
      <c r="D20" s="26" t="n">
        <f aca="false">(LEN(C20)-LEN(SUBSTITUTE(C20,"S",""))+1)/(LEN(C20)+2)</f>
        <v>0.6</v>
      </c>
      <c r="E20" s="25" t="n">
        <v>1</v>
      </c>
      <c r="F20" s="25" t="n">
        <v>17</v>
      </c>
      <c r="G20" s="24" t="n">
        <f aca="false">$B$2-F20</f>
        <v>0</v>
      </c>
      <c r="H20" s="26" t="n">
        <f aca="false">'Quy tac'!$B$5^(G20/E20)</f>
        <v>1</v>
      </c>
      <c r="I20" s="24" t="n">
        <f aca="false">F20+E20</f>
        <v>18</v>
      </c>
      <c r="J20" s="24" t="str">
        <f aca="false">IF(AND(D20&gt;='Quy tac'!$B$6,G20&gt;=E20),"Yếu + sắp quên",IF(D20&gt;='Quy tac'!$B$6,"Yếu",IF(G20&gt;=E20,"Sắp quên","Ổn định")))</f>
        <v>Yếu</v>
      </c>
    </row>
    <row r="21" customFormat="false" ht="15" hidden="false" customHeight="false" outlineLevel="0" collapsed="false">
      <c r="A21" s="24" t="s">
        <v>74</v>
      </c>
      <c r="B21" s="24" t="n">
        <v>4</v>
      </c>
      <c r="C21" s="25" t="s">
        <v>148</v>
      </c>
      <c r="D21" s="26" t="n">
        <f aca="false">(LEN(C21)-LEN(SUBSTITUTE(C21,"S",""))+1)/(LEN(C21)+2)</f>
        <v>0.5</v>
      </c>
      <c r="E21" s="25" t="n">
        <v>3</v>
      </c>
      <c r="F21" s="25" t="n">
        <v>5.5</v>
      </c>
      <c r="G21" s="24" t="n">
        <f aca="false">$B$2-F21</f>
        <v>11.5</v>
      </c>
      <c r="H21" s="26" t="n">
        <f aca="false">'Quy tac'!$B$5^(G21/E21)</f>
        <v>0.667722923489293</v>
      </c>
      <c r="I21" s="24" t="n">
        <f aca="false">F21+E21</f>
        <v>8.5</v>
      </c>
      <c r="J21" s="24" t="str">
        <f aca="false">IF(AND(D21&gt;='Quy tac'!$B$6,G21&gt;=E21),"Yếu + sắp quên",IF(D21&gt;='Quy tac'!$B$6,"Yếu",IF(G21&gt;=E21,"Sắp quên","Ổn định")))</f>
        <v>Yếu + sắp quên</v>
      </c>
    </row>
    <row r="22" customFormat="false" ht="15" hidden="false" customHeight="false" outlineLevel="0" collapsed="false">
      <c r="A22" s="24" t="s">
        <v>77</v>
      </c>
      <c r="B22" s="24" t="n">
        <v>2</v>
      </c>
      <c r="C22" s="25" t="s">
        <v>140</v>
      </c>
      <c r="D22" s="26" t="n">
        <f aca="false">(LEN(C22)-LEN(SUBSTITUTE(C22,"S",""))+1)/(LEN(C22)+2)</f>
        <v>0.25</v>
      </c>
      <c r="E22" s="25" t="n">
        <v>7</v>
      </c>
      <c r="F22" s="25" t="n">
        <v>13</v>
      </c>
      <c r="G22" s="24" t="n">
        <f aca="false">$B$2-F22</f>
        <v>4</v>
      </c>
      <c r="H22" s="26" t="n">
        <f aca="false">'Quy tac'!$B$5^(G22/E22)</f>
        <v>0.941570541646776</v>
      </c>
      <c r="I22" s="24" t="n">
        <f aca="false">F22+E22</f>
        <v>20</v>
      </c>
      <c r="J22" s="24" t="str">
        <f aca="false">IF(AND(D22&gt;='Quy tac'!$B$6,G22&gt;=E22),"Yếu + sắp quên",IF(D22&gt;='Quy tac'!$B$6,"Yếu",IF(G22&gt;=E22,"Sắp quên","Ổn định")))</f>
        <v>Ổn định</v>
      </c>
    </row>
    <row r="23" customFormat="false" ht="15" hidden="false" customHeight="false" outlineLevel="0" collapsed="false">
      <c r="A23" s="24" t="s">
        <v>78</v>
      </c>
      <c r="B23" s="24" t="n">
        <v>2</v>
      </c>
      <c r="C23" s="25" t="s">
        <v>140</v>
      </c>
      <c r="D23" s="26" t="n">
        <f aca="false">(LEN(C23)-LEN(SUBSTITUTE(C23,"S",""))+1)/(LEN(C23)+2)</f>
        <v>0.25</v>
      </c>
      <c r="E23" s="25" t="n">
        <v>7</v>
      </c>
      <c r="F23" s="25" t="n">
        <v>13</v>
      </c>
      <c r="G23" s="24" t="n">
        <f aca="false">$B$2-F23</f>
        <v>4</v>
      </c>
      <c r="H23" s="26" t="n">
        <f aca="false">'Quy tac'!$B$5^(G23/E23)</f>
        <v>0.941570541646776</v>
      </c>
      <c r="I23" s="24" t="n">
        <f aca="false">F23+E23</f>
        <v>20</v>
      </c>
      <c r="J23" s="24" t="str">
        <f aca="false">IF(AND(D23&gt;='Quy tac'!$B$6,G23&gt;=E23),"Yếu + sắp quên",IF(D23&gt;='Quy tac'!$B$6,"Yếu",IF(G23&gt;=E23,"Sắp quên","Ổn định")))</f>
        <v>Ổn định</v>
      </c>
    </row>
    <row r="24" customFormat="false" ht="15" hidden="false" customHeight="false" outlineLevel="0" collapsed="false">
      <c r="A24" s="24" t="s">
        <v>79</v>
      </c>
      <c r="B24" s="24" t="n">
        <v>2</v>
      </c>
      <c r="C24" s="25" t="s">
        <v>93</v>
      </c>
      <c r="D24" s="26" t="n">
        <f aca="false">(LEN(C24)-LEN(SUBSTITUTE(C24,"S",""))+1)/(LEN(C24)+2)</f>
        <v>0.5</v>
      </c>
      <c r="E24" s="25" t="n">
        <v>1</v>
      </c>
      <c r="F24" s="25" t="n">
        <v>17</v>
      </c>
      <c r="G24" s="24" t="n">
        <f aca="false">$B$2-F24</f>
        <v>0</v>
      </c>
      <c r="H24" s="26" t="n">
        <f aca="false">'Quy tac'!$B$5^(G24/E24)</f>
        <v>1</v>
      </c>
      <c r="I24" s="24" t="n">
        <f aca="false">F24+E24</f>
        <v>18</v>
      </c>
      <c r="J24" s="24" t="str">
        <f aca="false">IF(AND(D24&gt;='Quy tac'!$B$6,G24&gt;=E24),"Yếu + sắp quên",IF(D24&gt;='Quy tac'!$B$6,"Yếu",IF(G24&gt;=E24,"Sắp quên","Ổn định")))</f>
        <v>Yếu</v>
      </c>
    </row>
    <row r="25" customFormat="false" ht="15" hidden="false" customHeight="false" outlineLevel="0" collapsed="false">
      <c r="A25" s="24" t="s">
        <v>80</v>
      </c>
      <c r="B25" s="24" t="n">
        <v>3</v>
      </c>
      <c r="C25" s="25" t="s">
        <v>106</v>
      </c>
      <c r="D25" s="26" t="n">
        <f aca="false">(LEN(C25)-LEN(SUBSTITUTE(C25,"S",""))+1)/(LEN(C25)+2)</f>
        <v>0.4</v>
      </c>
      <c r="E25" s="25" t="n">
        <v>7</v>
      </c>
      <c r="F25" s="25" t="n">
        <v>10</v>
      </c>
      <c r="G25" s="24" t="n">
        <f aca="false">$B$2-F25</f>
        <v>7</v>
      </c>
      <c r="H25" s="26" t="n">
        <f aca="false">'Quy tac'!$B$5^(G25/E25)</f>
        <v>0.9</v>
      </c>
      <c r="I25" s="24" t="n">
        <f aca="false">F25+E25</f>
        <v>17</v>
      </c>
      <c r="J25" s="24" t="str">
        <f aca="false">IF(AND(D25&gt;='Quy tac'!$B$6,G25&gt;=E25),"Yếu + sắp quên",IF(D25&gt;='Quy tac'!$B$6,"Yếu",IF(G25&gt;=E25,"Sắp quên","Ổn định")))</f>
        <v>Sắp quên</v>
      </c>
    </row>
    <row r="26" customFormat="false" ht="15" hidden="false" customHeight="false" outlineLevel="0" collapsed="false">
      <c r="A26" s="24" t="s">
        <v>85</v>
      </c>
      <c r="B26" s="24" t="n">
        <v>2</v>
      </c>
      <c r="C26" s="25" t="s">
        <v>140</v>
      </c>
      <c r="D26" s="26" t="n">
        <f aca="false">(LEN(C26)-LEN(SUBSTITUTE(C26,"S",""))+1)/(LEN(C26)+2)</f>
        <v>0.25</v>
      </c>
      <c r="E26" s="25" t="n">
        <v>7</v>
      </c>
      <c r="F26" s="25" t="n">
        <v>17</v>
      </c>
      <c r="G26" s="24" t="n">
        <f aca="false">$B$2-F26</f>
        <v>0</v>
      </c>
      <c r="H26" s="26" t="n">
        <f aca="false">'Quy tac'!$B$5^(G26/E26)</f>
        <v>1</v>
      </c>
      <c r="I26" s="24" t="n">
        <f aca="false">F26+E26</f>
        <v>24</v>
      </c>
      <c r="J26" s="24" t="str">
        <f aca="false">IF(AND(D26&gt;='Quy tac'!$B$6,G26&gt;=E26),"Yếu + sắp quên",IF(D26&gt;='Quy tac'!$B$6,"Yếu",IF(G26&gt;=E26,"Sắp quên","Ổn định")))</f>
        <v>Ổn định</v>
      </c>
    </row>
    <row r="27" customFormat="false" ht="15" hidden="false" customHeight="false" outlineLevel="0" collapsed="false">
      <c r="A27" s="24" t="s">
        <v>86</v>
      </c>
      <c r="B27" s="24" t="n">
        <v>2</v>
      </c>
      <c r="C27" s="25" t="s">
        <v>76</v>
      </c>
      <c r="D27" s="26" t="n">
        <f aca="false">(LEN(C27)-LEN(SUBSTITUTE(C27,"S",""))+1)/(LEN(C27)+2)</f>
        <v>0.5</v>
      </c>
      <c r="E27" s="25" t="n">
        <v>3</v>
      </c>
      <c r="F27" s="25" t="n">
        <v>5</v>
      </c>
      <c r="G27" s="24" t="n">
        <f aca="false">$B$2-F27</f>
        <v>12</v>
      </c>
      <c r="H27" s="26" t="n">
        <f aca="false">'Quy tac'!$B$5^(G27/E27)</f>
        <v>0.6561</v>
      </c>
      <c r="I27" s="24" t="n">
        <f aca="false">F27+E27</f>
        <v>8</v>
      </c>
      <c r="J27" s="24" t="str">
        <f aca="false">IF(AND(D27&gt;='Quy tac'!$B$6,G27&gt;=E27),"Yếu + sắp quên",IF(D27&gt;='Quy tac'!$B$6,"Yếu",IF(G27&gt;=E27,"Sắp quên","Ổn định")))</f>
        <v>Yếu + sắp quên</v>
      </c>
    </row>
    <row r="28" customFormat="false" ht="15" hidden="false" customHeight="false" outlineLevel="0" collapsed="false">
      <c r="A28" s="24" t="s">
        <v>87</v>
      </c>
      <c r="B28" s="24" t="n">
        <v>2</v>
      </c>
      <c r="C28" s="25" t="s">
        <v>76</v>
      </c>
      <c r="D28" s="26" t="n">
        <f aca="false">(LEN(C28)-LEN(SUBSTITUTE(C28,"S",""))+1)/(LEN(C28)+2)</f>
        <v>0.5</v>
      </c>
      <c r="E28" s="25" t="n">
        <v>3</v>
      </c>
      <c r="F28" s="25" t="n">
        <v>5</v>
      </c>
      <c r="G28" s="24" t="n">
        <f aca="false">$B$2-F28</f>
        <v>12</v>
      </c>
      <c r="H28" s="26" t="n">
        <f aca="false">'Quy tac'!$B$5^(G28/E28)</f>
        <v>0.6561</v>
      </c>
      <c r="I28" s="24" t="n">
        <f aca="false">F28+E28</f>
        <v>8</v>
      </c>
      <c r="J28" s="24" t="str">
        <f aca="false">IF(AND(D28&gt;='Quy tac'!$B$6,G28&gt;=E28),"Yếu + sắp quên",IF(D28&gt;='Quy tac'!$B$6,"Yếu",IF(G28&gt;=E28,"Sắp quên","Ổn định")))</f>
        <v>Yếu + sắp quên</v>
      </c>
    </row>
    <row r="29" customFormat="false" ht="15" hidden="false" customHeight="false" outlineLevel="0" collapsed="false">
      <c r="A29" s="24" t="s">
        <v>90</v>
      </c>
      <c r="B29" s="24" t="n">
        <v>1</v>
      </c>
      <c r="C29" s="25" t="s">
        <v>84</v>
      </c>
      <c r="D29" s="26" t="n">
        <f aca="false">(LEN(C29)-LEN(SUBSTITUTE(C29,"S",""))+1)/(LEN(C29)+2)</f>
        <v>0.333333333333333</v>
      </c>
      <c r="E29" s="25" t="n">
        <v>3</v>
      </c>
      <c r="F29" s="25" t="n">
        <v>5</v>
      </c>
      <c r="G29" s="24" t="n">
        <f aca="false">$B$2-F29</f>
        <v>12</v>
      </c>
      <c r="H29" s="26" t="n">
        <f aca="false">'Quy tac'!$B$5^(G29/E29)</f>
        <v>0.6561</v>
      </c>
      <c r="I29" s="24" t="n">
        <f aca="false">F29+E29</f>
        <v>8</v>
      </c>
      <c r="J29" s="24" t="str">
        <f aca="false">IF(AND(D29&gt;='Quy tac'!$B$6,G29&gt;=E29),"Yếu + sắp quên",IF(D29&gt;='Quy tac'!$B$6,"Yếu",IF(G29&gt;=E29,"Sắp quên","Ổn định")))</f>
        <v>Sắp quên</v>
      </c>
    </row>
    <row r="30" customFormat="false" ht="15" hidden="false" customHeight="false" outlineLevel="0" collapsed="false">
      <c r="A30" s="24" t="s">
        <v>91</v>
      </c>
      <c r="B30" s="24" t="n">
        <v>1</v>
      </c>
      <c r="C30" s="25" t="s">
        <v>84</v>
      </c>
      <c r="D30" s="26" t="n">
        <f aca="false">(LEN(C30)-LEN(SUBSTITUTE(C30,"S",""))+1)/(LEN(C30)+2)</f>
        <v>0.333333333333333</v>
      </c>
      <c r="E30" s="25" t="n">
        <v>3</v>
      </c>
      <c r="F30" s="25" t="n">
        <v>5</v>
      </c>
      <c r="G30" s="24" t="n">
        <f aca="false">$B$2-F30</f>
        <v>12</v>
      </c>
      <c r="H30" s="26" t="n">
        <f aca="false">'Quy tac'!$B$5^(G30/E30)</f>
        <v>0.6561</v>
      </c>
      <c r="I30" s="24" t="n">
        <f aca="false">F30+E30</f>
        <v>8</v>
      </c>
      <c r="J30" s="24" t="str">
        <f aca="false">IF(AND(D30&gt;='Quy tac'!$B$6,G30&gt;=E30),"Yếu + sắp quên",IF(D30&gt;='Quy tac'!$B$6,"Yếu",IF(G30&gt;=E30,"Sắp quên","Ổn định")))</f>
        <v>Sắp quên</v>
      </c>
    </row>
    <row r="31" customFormat="false" ht="15" hidden="false" customHeight="false" outlineLevel="0" collapsed="false">
      <c r="A31" s="24" t="s">
        <v>92</v>
      </c>
      <c r="B31" s="24" t="n">
        <v>2</v>
      </c>
      <c r="C31" s="25" t="s">
        <v>76</v>
      </c>
      <c r="D31" s="26" t="n">
        <f aca="false">(LEN(C31)-LEN(SUBSTITUTE(C31,"S",""))+1)/(LEN(C31)+2)</f>
        <v>0.5</v>
      </c>
      <c r="E31" s="25" t="n">
        <v>3</v>
      </c>
      <c r="F31" s="25" t="n">
        <v>8</v>
      </c>
      <c r="G31" s="24" t="n">
        <f aca="false">$B$2-F31</f>
        <v>9</v>
      </c>
      <c r="H31" s="26" t="n">
        <f aca="false">'Quy tac'!$B$5^(G31/E31)</f>
        <v>0.729</v>
      </c>
      <c r="I31" s="24" t="n">
        <f aca="false">F31+E31</f>
        <v>11</v>
      </c>
      <c r="J31" s="24" t="str">
        <f aca="false">IF(AND(D31&gt;='Quy tac'!$B$6,G31&gt;=E31),"Yếu + sắp quên",IF(D31&gt;='Quy tac'!$B$6,"Yếu",IF(G31&gt;=E31,"Sắp quên","Ổn định")))</f>
        <v>Yếu + sắp quên</v>
      </c>
    </row>
    <row r="32" customFormat="false" ht="15" hidden="false" customHeight="false" outlineLevel="0" collapsed="false">
      <c r="A32" s="24" t="s">
        <v>95</v>
      </c>
      <c r="B32" s="24" t="n">
        <v>1</v>
      </c>
      <c r="C32" s="25" t="s">
        <v>84</v>
      </c>
      <c r="D32" s="26" t="n">
        <f aca="false">(LEN(C32)-LEN(SUBSTITUTE(C32,"S",""))+1)/(LEN(C32)+2)</f>
        <v>0.333333333333333</v>
      </c>
      <c r="E32" s="25" t="n">
        <v>3</v>
      </c>
      <c r="F32" s="25" t="n">
        <v>5.5</v>
      </c>
      <c r="G32" s="24" t="n">
        <f aca="false">$B$2-F32</f>
        <v>11.5</v>
      </c>
      <c r="H32" s="26" t="n">
        <f aca="false">'Quy tac'!$B$5^(G32/E32)</f>
        <v>0.667722923489293</v>
      </c>
      <c r="I32" s="24" t="n">
        <f aca="false">F32+E32</f>
        <v>8.5</v>
      </c>
      <c r="J32" s="24" t="str">
        <f aca="false">IF(AND(D32&gt;='Quy tac'!$B$6,G32&gt;=E32),"Yếu + sắp quên",IF(D32&gt;='Quy tac'!$B$6,"Yếu",IF(G32&gt;=E32,"Sắp quên","Ổn định")))</f>
        <v>Sắp quên</v>
      </c>
    </row>
    <row r="33" customFormat="false" ht="15" hidden="false" customHeight="false" outlineLevel="0" collapsed="false">
      <c r="A33" s="24" t="s">
        <v>96</v>
      </c>
      <c r="B33" s="24" t="n">
        <v>1</v>
      </c>
      <c r="C33" s="25" t="s">
        <v>84</v>
      </c>
      <c r="D33" s="26" t="n">
        <f aca="false">(LEN(C33)-LEN(SUBSTITUTE(C33,"S",""))+1)/(LEN(C33)+2)</f>
        <v>0.333333333333333</v>
      </c>
      <c r="E33" s="25" t="n">
        <v>3</v>
      </c>
      <c r="F33" s="25" t="n">
        <v>5.5</v>
      </c>
      <c r="G33" s="24" t="n">
        <f aca="false">$B$2-F33</f>
        <v>11.5</v>
      </c>
      <c r="H33" s="26" t="n">
        <f aca="false">'Quy tac'!$B$5^(G33/E33)</f>
        <v>0.667722923489293</v>
      </c>
      <c r="I33" s="24" t="n">
        <f aca="false">F33+E33</f>
        <v>8.5</v>
      </c>
      <c r="J33" s="24" t="str">
        <f aca="false">IF(AND(D33&gt;='Quy tac'!$B$6,G33&gt;=E33),"Yếu + sắp quên",IF(D33&gt;='Quy tac'!$B$6,"Yếu",IF(G33&gt;=E33,"Sắp quên","Ổn định")))</f>
        <v>Sắp quên</v>
      </c>
    </row>
    <row r="34" customFormat="false" ht="15" hidden="false" customHeight="false" outlineLevel="0" collapsed="false">
      <c r="A34" s="24" t="s">
        <v>97</v>
      </c>
      <c r="B34" s="24" t="n">
        <v>1</v>
      </c>
      <c r="C34" s="25" t="s">
        <v>84</v>
      </c>
      <c r="D34" s="26" t="n">
        <f aca="false">(LEN(C34)-LEN(SUBSTITUTE(C34,"S",""))+1)/(LEN(C34)+2)</f>
        <v>0.333333333333333</v>
      </c>
      <c r="E34" s="25" t="n">
        <v>3</v>
      </c>
      <c r="F34" s="25" t="n">
        <v>5.5</v>
      </c>
      <c r="G34" s="24" t="n">
        <f aca="false">$B$2-F34</f>
        <v>11.5</v>
      </c>
      <c r="H34" s="26" t="n">
        <f aca="false">'Quy tac'!$B$5^(G34/E34)</f>
        <v>0.667722923489293</v>
      </c>
      <c r="I34" s="24" t="n">
        <f aca="false">F34+E34</f>
        <v>8.5</v>
      </c>
      <c r="J34" s="24" t="str">
        <f aca="false">IF(AND(D34&gt;='Quy tac'!$B$6,G34&gt;=E34),"Yếu + sắp quên",IF(D34&gt;='Quy tac'!$B$6,"Yếu",IF(G34&gt;=E34,"Sắp quên","Ổn định")))</f>
        <v>Sắp quên</v>
      </c>
    </row>
    <row r="35" customFormat="false" ht="15" hidden="false" customHeight="false" outlineLevel="0" collapsed="false">
      <c r="A35" s="24" t="s">
        <v>100</v>
      </c>
      <c r="B35" s="24" t="n">
        <v>1</v>
      </c>
      <c r="C35" s="25" t="s">
        <v>84</v>
      </c>
      <c r="D35" s="26" t="n">
        <f aca="false">(LEN(C35)-LEN(SUBSTITUTE(C35,"S",""))+1)/(LEN(C35)+2)</f>
        <v>0.333333333333333</v>
      </c>
      <c r="E35" s="25" t="n">
        <v>3</v>
      </c>
      <c r="F35" s="25" t="n">
        <v>8</v>
      </c>
      <c r="G35" s="24" t="n">
        <f aca="false">$B$2-F35</f>
        <v>9</v>
      </c>
      <c r="H35" s="26" t="n">
        <f aca="false">'Quy tac'!$B$5^(G35/E35)</f>
        <v>0.729</v>
      </c>
      <c r="I35" s="24" t="n">
        <f aca="false">F35+E35</f>
        <v>11</v>
      </c>
      <c r="J35" s="24" t="str">
        <f aca="false">IF(AND(D35&gt;='Quy tac'!$B$6,G35&gt;=E35),"Yếu + sắp quên",IF(D35&gt;='Quy tac'!$B$6,"Yếu",IF(G35&gt;=E35,"Sắp quên","Ổn định")))</f>
        <v>Sắp quên</v>
      </c>
    </row>
    <row r="36" customFormat="false" ht="15" hidden="false" customHeight="false" outlineLevel="0" collapsed="false">
      <c r="A36" s="24" t="s">
        <v>101</v>
      </c>
      <c r="B36" s="24" t="n">
        <v>1</v>
      </c>
      <c r="C36" s="25" t="s">
        <v>84</v>
      </c>
      <c r="D36" s="26" t="n">
        <f aca="false">(LEN(C36)-LEN(SUBSTITUTE(C36,"S",""))+1)/(LEN(C36)+2)</f>
        <v>0.333333333333333</v>
      </c>
      <c r="E36" s="25" t="n">
        <v>3</v>
      </c>
      <c r="F36" s="25" t="n">
        <v>8</v>
      </c>
      <c r="G36" s="24" t="n">
        <f aca="false">$B$2-F36</f>
        <v>9</v>
      </c>
      <c r="H36" s="26" t="n">
        <f aca="false">'Quy tac'!$B$5^(G36/E36)</f>
        <v>0.729</v>
      </c>
      <c r="I36" s="24" t="n">
        <f aca="false">F36+E36</f>
        <v>11</v>
      </c>
      <c r="J36" s="24" t="str">
        <f aca="false">IF(AND(D36&gt;='Quy tac'!$B$6,G36&gt;=E36),"Yếu + sắp quên",IF(D36&gt;='Quy tac'!$B$6,"Yếu",IF(G36&gt;=E36,"Sắp quên","Ổn định")))</f>
        <v>Sắp quên</v>
      </c>
    </row>
    <row r="37" customFormat="false" ht="15" hidden="false" customHeight="false" outlineLevel="0" collapsed="false">
      <c r="A37" s="24" t="s">
        <v>102</v>
      </c>
      <c r="B37" s="24" t="n">
        <v>2</v>
      </c>
      <c r="C37" s="25" t="s">
        <v>76</v>
      </c>
      <c r="D37" s="26" t="n">
        <f aca="false">(LEN(C37)-LEN(SUBSTITUTE(C37,"S",""))+1)/(LEN(C37)+2)</f>
        <v>0.5</v>
      </c>
      <c r="E37" s="25" t="n">
        <v>3</v>
      </c>
      <c r="F37" s="25" t="n">
        <v>10</v>
      </c>
      <c r="G37" s="24" t="n">
        <f aca="false">$B$2-F37</f>
        <v>7</v>
      </c>
      <c r="H37" s="26" t="n">
        <f aca="false">'Quy tac'!$B$5^(G37/E37)</f>
        <v>0.78204640153056</v>
      </c>
      <c r="I37" s="24" t="n">
        <f aca="false">F37+E37</f>
        <v>13</v>
      </c>
      <c r="J37" s="24" t="str">
        <f aca="false">IF(AND(D37&gt;='Quy tac'!$B$6,G37&gt;=E37),"Yếu + sắp quên",IF(D37&gt;='Quy tac'!$B$6,"Yếu",IF(G37&gt;=E37,"Sắp quên","Ổn định")))</f>
        <v>Yếu + sắp quên</v>
      </c>
    </row>
    <row r="38" customFormat="false" ht="15" hidden="false" customHeight="false" outlineLevel="0" collapsed="false">
      <c r="A38" s="24" t="s">
        <v>103</v>
      </c>
      <c r="B38" s="24" t="n">
        <v>3</v>
      </c>
      <c r="C38" s="25" t="s">
        <v>89</v>
      </c>
      <c r="D38" s="26" t="n">
        <f aca="false">(LEN(C38)-LEN(SUBSTITUTE(C38,"S",""))+1)/(LEN(C38)+2)</f>
        <v>0.6</v>
      </c>
      <c r="E38" s="25" t="n">
        <v>3</v>
      </c>
      <c r="F38" s="25" t="n">
        <v>17</v>
      </c>
      <c r="G38" s="24" t="n">
        <f aca="false">$B$2-F38</f>
        <v>0</v>
      </c>
      <c r="H38" s="26" t="n">
        <f aca="false">'Quy tac'!$B$5^(G38/E38)</f>
        <v>1</v>
      </c>
      <c r="I38" s="24" t="n">
        <f aca="false">F38+E38</f>
        <v>20</v>
      </c>
      <c r="J38" s="24" t="str">
        <f aca="false">IF(AND(D38&gt;='Quy tac'!$B$6,G38&gt;=E38),"Yếu + sắp quên",IF(D38&gt;='Quy tac'!$B$6,"Yếu",IF(G38&gt;=E38,"Sắp quên","Ổn định")))</f>
        <v>Yếu</v>
      </c>
    </row>
    <row r="39" customFormat="false" ht="15" hidden="false" customHeight="false" outlineLevel="0" collapsed="false">
      <c r="A39" s="24" t="s">
        <v>104</v>
      </c>
      <c r="B39" s="24" t="n">
        <v>1</v>
      </c>
      <c r="C39" s="25" t="s">
        <v>84</v>
      </c>
      <c r="D39" s="26" t="n">
        <f aca="false">(LEN(C39)-LEN(SUBSTITUTE(C39,"S",""))+1)/(LEN(C39)+2)</f>
        <v>0.333333333333333</v>
      </c>
      <c r="E39" s="25" t="n">
        <v>3</v>
      </c>
      <c r="F39" s="25" t="n">
        <v>10</v>
      </c>
      <c r="G39" s="24" t="n">
        <f aca="false">$B$2-F39</f>
        <v>7</v>
      </c>
      <c r="H39" s="26" t="n">
        <f aca="false">'Quy tac'!$B$5^(G39/E39)</f>
        <v>0.78204640153056</v>
      </c>
      <c r="I39" s="24" t="n">
        <f aca="false">F39+E39</f>
        <v>13</v>
      </c>
      <c r="J39" s="24" t="str">
        <f aca="false">IF(AND(D39&gt;='Quy tac'!$B$6,G39&gt;=E39),"Yếu + sắp quên",IF(D39&gt;='Quy tac'!$B$6,"Yếu",IF(G39&gt;=E39,"Sắp quên","Ổn định")))</f>
        <v>Sắp quên</v>
      </c>
    </row>
    <row r="40" customFormat="false" ht="15" hidden="false" customHeight="false" outlineLevel="0" collapsed="false">
      <c r="A40" s="24" t="s">
        <v>105</v>
      </c>
      <c r="B40" s="24" t="n">
        <v>1</v>
      </c>
      <c r="C40" s="25" t="s">
        <v>84</v>
      </c>
      <c r="D40" s="26" t="n">
        <f aca="false">(LEN(C40)-LEN(SUBSTITUTE(C40,"S",""))+1)/(LEN(C40)+2)</f>
        <v>0.333333333333333</v>
      </c>
      <c r="E40" s="25" t="n">
        <v>3</v>
      </c>
      <c r="F40" s="25" t="n">
        <v>10</v>
      </c>
      <c r="G40" s="24" t="n">
        <f aca="false">$B$2-F40</f>
        <v>7</v>
      </c>
      <c r="H40" s="26" t="n">
        <f aca="false">'Quy tac'!$B$5^(G40/E40)</f>
        <v>0.78204640153056</v>
      </c>
      <c r="I40" s="24" t="n">
        <f aca="false">F40+E40</f>
        <v>13</v>
      </c>
      <c r="J40" s="24" t="str">
        <f aca="false">IF(AND(D40&gt;='Quy tac'!$B$6,G40&gt;=E40),"Yếu + sắp quên",IF(D40&gt;='Quy tac'!$B$6,"Yếu",IF(G40&gt;=E40,"Sắp quên","Ổn định")))</f>
        <v>Sắp quên</v>
      </c>
    </row>
    <row r="41" customFormat="false" ht="15" hidden="false" customHeight="false" outlineLevel="0" collapsed="false">
      <c r="A41" s="24" t="s">
        <v>107</v>
      </c>
      <c r="B41" s="24" t="n">
        <v>1</v>
      </c>
      <c r="C41" s="25" t="s">
        <v>84</v>
      </c>
      <c r="D41" s="26" t="n">
        <f aca="false">(LEN(C41)-LEN(SUBSTITUTE(C41,"S",""))+1)/(LEN(C41)+2)</f>
        <v>0.333333333333333</v>
      </c>
      <c r="E41" s="25" t="n">
        <v>3</v>
      </c>
      <c r="F41" s="25" t="n">
        <v>13</v>
      </c>
      <c r="G41" s="24" t="n">
        <f aca="false">$B$2-F41</f>
        <v>4</v>
      </c>
      <c r="H41" s="26" t="n">
        <f aca="false">'Quy tac'!$B$5^(G41/E41)</f>
        <v>0.868940446145067</v>
      </c>
      <c r="I41" s="24" t="n">
        <f aca="false">F41+E41</f>
        <v>16</v>
      </c>
      <c r="J41" s="24" t="str">
        <f aca="false">IF(AND(D41&gt;='Quy tac'!$B$6,G41&gt;=E41),"Yếu + sắp quên",IF(D41&gt;='Quy tac'!$B$6,"Yếu",IF(G41&gt;=E41,"Sắp quên","Ổn định")))</f>
        <v>Sắp quên</v>
      </c>
    </row>
    <row r="42" customFormat="false" ht="15" hidden="false" customHeight="false" outlineLevel="0" collapsed="false">
      <c r="A42" s="24" t="s">
        <v>108</v>
      </c>
      <c r="B42" s="24" t="n">
        <v>2</v>
      </c>
      <c r="C42" s="25" t="s">
        <v>75</v>
      </c>
      <c r="D42" s="26" t="n">
        <f aca="false">(LEN(C42)-LEN(SUBSTITUTE(C42,"S",""))+1)/(LEN(C42)+2)</f>
        <v>0.75</v>
      </c>
      <c r="E42" s="25" t="n">
        <v>1</v>
      </c>
      <c r="F42" s="25" t="n">
        <v>17</v>
      </c>
      <c r="G42" s="24" t="n">
        <f aca="false">$B$2-F42</f>
        <v>0</v>
      </c>
      <c r="H42" s="26" t="n">
        <f aca="false">'Quy tac'!$B$5^(G42/E42)</f>
        <v>1</v>
      </c>
      <c r="I42" s="24" t="n">
        <f aca="false">F42+E42</f>
        <v>18</v>
      </c>
      <c r="J42" s="24" t="str">
        <f aca="false">IF(AND(D42&gt;='Quy tac'!$B$6,G42&gt;=E42),"Yếu + sắp quên",IF(D42&gt;='Quy tac'!$B$6,"Yếu",IF(G42&gt;=E42,"Sắp quên","Ổn định")))</f>
        <v>Yếu</v>
      </c>
    </row>
    <row r="43" customFormat="false" ht="15" hidden="false" customHeight="false" outlineLevel="0" collapsed="false">
      <c r="A43" s="24" t="s">
        <v>109</v>
      </c>
      <c r="B43" s="24" t="n">
        <v>2</v>
      </c>
      <c r="C43" s="25" t="s">
        <v>75</v>
      </c>
      <c r="D43" s="26" t="n">
        <f aca="false">(LEN(C43)-LEN(SUBSTITUTE(C43,"S",""))+1)/(LEN(C43)+2)</f>
        <v>0.75</v>
      </c>
      <c r="E43" s="25" t="n">
        <v>1</v>
      </c>
      <c r="F43" s="25" t="n">
        <v>17</v>
      </c>
      <c r="G43" s="24" t="n">
        <f aca="false">$B$2-F43</f>
        <v>0</v>
      </c>
      <c r="H43" s="26" t="n">
        <f aca="false">'Quy tac'!$B$5^(G43/E43)</f>
        <v>1</v>
      </c>
      <c r="I43" s="24" t="n">
        <f aca="false">F43+E43</f>
        <v>18</v>
      </c>
      <c r="J43" s="24" t="str">
        <f aca="false">IF(AND(D43&gt;='Quy tac'!$B$6,G43&gt;=E43),"Yếu + sắp quên",IF(D43&gt;='Quy tac'!$B$6,"Yếu",IF(G43&gt;=E43,"Sắp quên","Ổn định")))</f>
        <v>Yếu</v>
      </c>
    </row>
    <row r="44" customFormat="false" ht="15" hidden="false" customHeight="false" outlineLevel="0" collapsed="false">
      <c r="A44" s="24" t="s">
        <v>111</v>
      </c>
      <c r="B44" s="24" t="n">
        <v>1</v>
      </c>
      <c r="C44" s="25" t="s">
        <v>84</v>
      </c>
      <c r="D44" s="26" t="n">
        <f aca="false">(LEN(C44)-LEN(SUBSTITUTE(C44,"S",""))+1)/(LEN(C44)+2)</f>
        <v>0.333333333333333</v>
      </c>
      <c r="E44" s="25" t="n">
        <v>3</v>
      </c>
      <c r="F44" s="25" t="n">
        <v>17</v>
      </c>
      <c r="G44" s="24" t="n">
        <f aca="false">$B$2-F44</f>
        <v>0</v>
      </c>
      <c r="H44" s="26" t="n">
        <f aca="false">'Quy tac'!$B$5^(G44/E44)</f>
        <v>1</v>
      </c>
      <c r="I44" s="24" t="n">
        <f aca="false">F44+E44</f>
        <v>20</v>
      </c>
      <c r="J44" s="24" t="str">
        <f aca="false">IF(AND(D44&gt;='Quy tac'!$B$6,G44&gt;=E44),"Yếu + sắp quên",IF(D44&gt;='Quy tac'!$B$6,"Yếu",IF(G44&gt;=E44,"Sắp quên","Ổn định")))</f>
        <v>Ổn định</v>
      </c>
    </row>
    <row r="45" customFormat="false" ht="15" hidden="false" customHeight="false" outlineLevel="0" collapsed="false">
      <c r="A45" s="24" t="s">
        <v>112</v>
      </c>
      <c r="B45" s="24" t="n">
        <v>1</v>
      </c>
      <c r="C45" s="25" t="s">
        <v>67</v>
      </c>
      <c r="D45" s="26" t="n">
        <f aca="false">(LEN(C45)-LEN(SUBSTITUTE(C45,"S",""))+1)/(LEN(C45)+2)</f>
        <v>0.666666666666667</v>
      </c>
      <c r="E45" s="25" t="n">
        <v>1</v>
      </c>
      <c r="F45" s="25" t="n">
        <v>17</v>
      </c>
      <c r="G45" s="24" t="n">
        <f aca="false">$B$2-F45</f>
        <v>0</v>
      </c>
      <c r="H45" s="26" t="n">
        <f aca="false">'Quy tac'!$B$5^(G45/E45)</f>
        <v>1</v>
      </c>
      <c r="I45" s="24" t="n">
        <f aca="false">F45+E45</f>
        <v>18</v>
      </c>
      <c r="J45" s="24" t="str">
        <f aca="false">IF(AND(D45&gt;='Quy tac'!$B$6,G45&gt;=E45),"Yếu + sắp quên",IF(D45&gt;='Quy tac'!$B$6,"Yếu",IF(G45&gt;=E45,"Sắp quên","Ổn định")))</f>
        <v>Yếu</v>
      </c>
    </row>
    <row r="46" customFormat="false" ht="15" hidden="false" customHeight="false" outlineLevel="0" collapsed="false">
      <c r="A46" s="24" t="s">
        <v>113</v>
      </c>
      <c r="B46" s="24" t="n">
        <v>1</v>
      </c>
      <c r="C46" s="25" t="s">
        <v>84</v>
      </c>
      <c r="D46" s="26" t="n">
        <f aca="false">(LEN(C46)-LEN(SUBSTITUTE(C46,"S",""))+1)/(LEN(C46)+2)</f>
        <v>0.333333333333333</v>
      </c>
      <c r="E46" s="25" t="n">
        <v>3</v>
      </c>
      <c r="F46" s="25" t="n">
        <v>17</v>
      </c>
      <c r="G46" s="24" t="n">
        <f aca="false">$B$2-F46</f>
        <v>0</v>
      </c>
      <c r="H46" s="26" t="n">
        <f aca="false">'Quy tac'!$B$5^(G46/E46)</f>
        <v>1</v>
      </c>
      <c r="I46" s="24" t="n">
        <f aca="false">F46+E46</f>
        <v>20</v>
      </c>
      <c r="J46" s="24" t="str">
        <f aca="false">IF(AND(D46&gt;='Quy tac'!$B$6,G46&gt;=E46),"Yếu + sắp quên",IF(D46&gt;='Quy tac'!$B$6,"Yếu",IF(G46&gt;=E46,"Sắp quên","Ổn định")))</f>
        <v>Ổn định</v>
      </c>
    </row>
    <row r="47" customFormat="false" ht="15" hidden="false" customHeight="false" outlineLevel="0" collapsed="false">
      <c r="A47" s="24" t="s">
        <v>149</v>
      </c>
      <c r="B47" s="24" t="n">
        <v>0</v>
      </c>
      <c r="C47" s="24" t="s">
        <v>54</v>
      </c>
      <c r="D47" s="24" t="s">
        <v>54</v>
      </c>
      <c r="E47" s="24" t="s">
        <v>54</v>
      </c>
      <c r="F47" s="24" t="s">
        <v>54</v>
      </c>
      <c r="G47" s="24" t="s">
        <v>54</v>
      </c>
      <c r="H47" s="24" t="s">
        <v>54</v>
      </c>
      <c r="I47" s="24" t="s">
        <v>54</v>
      </c>
      <c r="J47" s="24" t="s">
        <v>139</v>
      </c>
    </row>
    <row r="48" customFormat="false" ht="15" hidden="false" customHeight="false" outlineLevel="0" collapsed="false">
      <c r="A48" s="24" t="s">
        <v>150</v>
      </c>
      <c r="B48" s="24" t="n">
        <v>0</v>
      </c>
      <c r="C48" s="24" t="s">
        <v>54</v>
      </c>
      <c r="D48" s="24" t="s">
        <v>54</v>
      </c>
      <c r="E48" s="24" t="s">
        <v>54</v>
      </c>
      <c r="F48" s="24" t="s">
        <v>54</v>
      </c>
      <c r="G48" s="24" t="s">
        <v>54</v>
      </c>
      <c r="H48" s="24" t="s">
        <v>54</v>
      </c>
      <c r="I48" s="24" t="s">
        <v>54</v>
      </c>
      <c r="J48" s="24" t="s">
        <v>139</v>
      </c>
    </row>
    <row r="49" customFormat="false" ht="15" hidden="false" customHeight="false" outlineLevel="0" collapsed="false">
      <c r="A49" s="24" t="s">
        <v>151</v>
      </c>
      <c r="B49" s="24" t="n">
        <v>0</v>
      </c>
      <c r="C49" s="24" t="s">
        <v>54</v>
      </c>
      <c r="D49" s="24" t="s">
        <v>54</v>
      </c>
      <c r="E49" s="24" t="s">
        <v>54</v>
      </c>
      <c r="F49" s="24" t="s">
        <v>54</v>
      </c>
      <c r="G49" s="24" t="s">
        <v>54</v>
      </c>
      <c r="H49" s="24" t="s">
        <v>54</v>
      </c>
      <c r="I49" s="24" t="s">
        <v>54</v>
      </c>
      <c r="J49" s="24" t="s">
        <v>139</v>
      </c>
    </row>
    <row r="50" customFormat="false" ht="15" hidden="false" customHeight="false" outlineLevel="0" collapsed="false">
      <c r="A50" s="24" t="s">
        <v>152</v>
      </c>
      <c r="B50" s="24" t="n">
        <v>0</v>
      </c>
      <c r="C50" s="24" t="s">
        <v>54</v>
      </c>
      <c r="D50" s="24" t="s">
        <v>54</v>
      </c>
      <c r="E50" s="24" t="s">
        <v>54</v>
      </c>
      <c r="F50" s="24" t="s">
        <v>54</v>
      </c>
      <c r="G50" s="24" t="s">
        <v>54</v>
      </c>
      <c r="H50" s="24" t="s">
        <v>54</v>
      </c>
      <c r="I50" s="24" t="s">
        <v>54</v>
      </c>
      <c r="J50" s="24" t="s">
        <v>139</v>
      </c>
    </row>
    <row r="51" customFormat="false" ht="15" hidden="false" customHeight="false" outlineLevel="0" collapsed="false">
      <c r="A51" s="24" t="s">
        <v>153</v>
      </c>
      <c r="B51" s="24" t="n">
        <v>0</v>
      </c>
      <c r="C51" s="24" t="s">
        <v>54</v>
      </c>
      <c r="D51" s="24" t="s">
        <v>54</v>
      </c>
      <c r="E51" s="24" t="s">
        <v>54</v>
      </c>
      <c r="F51" s="24" t="s">
        <v>54</v>
      </c>
      <c r="G51" s="24" t="s">
        <v>54</v>
      </c>
      <c r="H51" s="24" t="s">
        <v>54</v>
      </c>
      <c r="I51" s="24" t="s">
        <v>54</v>
      </c>
      <c r="J51" s="24" t="s">
        <v>139</v>
      </c>
    </row>
    <row r="52" customFormat="false" ht="15" hidden="false" customHeight="false" outlineLevel="0" collapsed="false">
      <c r="A52" s="24" t="s">
        <v>154</v>
      </c>
      <c r="B52" s="24" t="n">
        <v>0</v>
      </c>
      <c r="C52" s="24" t="s">
        <v>54</v>
      </c>
      <c r="D52" s="24" t="s">
        <v>54</v>
      </c>
      <c r="E52" s="24" t="s">
        <v>54</v>
      </c>
      <c r="F52" s="24" t="s">
        <v>54</v>
      </c>
      <c r="G52" s="24" t="s">
        <v>54</v>
      </c>
      <c r="H52" s="24" t="s">
        <v>54</v>
      </c>
      <c r="I52" s="24" t="s">
        <v>54</v>
      </c>
      <c r="J52" s="24" t="s">
        <v>139</v>
      </c>
    </row>
    <row r="53" customFormat="false" ht="15" hidden="false" customHeight="false" outlineLevel="0" collapsed="false">
      <c r="A53" s="24" t="s">
        <v>155</v>
      </c>
      <c r="B53" s="24" t="n">
        <v>0</v>
      </c>
      <c r="C53" s="24" t="s">
        <v>54</v>
      </c>
      <c r="D53" s="24" t="s">
        <v>54</v>
      </c>
      <c r="E53" s="24" t="s">
        <v>54</v>
      </c>
      <c r="F53" s="24" t="s">
        <v>54</v>
      </c>
      <c r="G53" s="24" t="s">
        <v>54</v>
      </c>
      <c r="H53" s="24" t="s">
        <v>54</v>
      </c>
      <c r="I53" s="24" t="s">
        <v>54</v>
      </c>
      <c r="J53" s="24" t="s">
        <v>139</v>
      </c>
    </row>
    <row r="54" customFormat="false" ht="15" hidden="false" customHeight="false" outlineLevel="0" collapsed="false">
      <c r="A54" s="24" t="s">
        <v>156</v>
      </c>
      <c r="B54" s="24" t="n">
        <v>0</v>
      </c>
      <c r="C54" s="24" t="s">
        <v>54</v>
      </c>
      <c r="D54" s="24" t="s">
        <v>54</v>
      </c>
      <c r="E54" s="24" t="s">
        <v>54</v>
      </c>
      <c r="F54" s="24" t="s">
        <v>54</v>
      </c>
      <c r="G54" s="24" t="s">
        <v>54</v>
      </c>
      <c r="H54" s="24" t="s">
        <v>54</v>
      </c>
      <c r="I54" s="24" t="s">
        <v>54</v>
      </c>
      <c r="J54" s="2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9"/>
    <col collapsed="false" customWidth="true" hidden="false" outlineLevel="0" max="15" min="9" style="0" width="9"/>
    <col collapsed="false" customWidth="true" hidden="false" outlineLevel="0" max="23" min="17" style="0" width="9"/>
  </cols>
  <sheetData>
    <row r="1" customFormat="false" ht="17.35" hidden="false" customHeight="false" outlineLevel="0" collapsed="false">
      <c r="A1" s="1" t="s">
        <v>157</v>
      </c>
    </row>
    <row r="3" customFormat="false" ht="15" hidden="false" customHeight="false" outlineLevel="0" collapsed="false">
      <c r="A3" s="8" t="s">
        <v>158</v>
      </c>
      <c r="I3" s="8" t="s">
        <v>159</v>
      </c>
      <c r="Q3" s="8" t="s">
        <v>160</v>
      </c>
    </row>
    <row r="4" customFormat="false" ht="15" hidden="false" customHeight="false" outlineLevel="0" collapsed="false">
      <c r="A4" s="27" t="s">
        <v>38</v>
      </c>
      <c r="B4" s="27" t="s">
        <v>161</v>
      </c>
      <c r="C4" s="27" t="s">
        <v>162</v>
      </c>
      <c r="D4" s="27" t="s">
        <v>131</v>
      </c>
      <c r="E4" s="27" t="s">
        <v>67</v>
      </c>
      <c r="F4" s="27" t="s">
        <v>163</v>
      </c>
      <c r="G4" s="27" t="s">
        <v>164</v>
      </c>
      <c r="I4" s="27" t="s">
        <v>38</v>
      </c>
      <c r="J4" s="27" t="s">
        <v>161</v>
      </c>
      <c r="K4" s="27" t="s">
        <v>162</v>
      </c>
      <c r="L4" s="27" t="s">
        <v>131</v>
      </c>
      <c r="M4" s="27" t="s">
        <v>67</v>
      </c>
      <c r="N4" s="27" t="s">
        <v>163</v>
      </c>
      <c r="O4" s="27" t="s">
        <v>164</v>
      </c>
      <c r="Q4" s="27" t="s">
        <v>38</v>
      </c>
      <c r="R4" s="27" t="s">
        <v>161</v>
      </c>
      <c r="S4" s="27" t="s">
        <v>162</v>
      </c>
      <c r="T4" s="27" t="s">
        <v>131</v>
      </c>
      <c r="U4" s="27" t="s">
        <v>67</v>
      </c>
      <c r="V4" s="27" t="s">
        <v>163</v>
      </c>
      <c r="W4" s="27" t="s">
        <v>164</v>
      </c>
    </row>
    <row r="5" customFormat="false" ht="15" hidden="false" customHeight="false" outlineLevel="0" collapsed="false">
      <c r="A5" s="28" t="s">
        <v>103</v>
      </c>
      <c r="B5" s="28" t="s">
        <v>66</v>
      </c>
      <c r="C5" s="28" t="s">
        <v>75</v>
      </c>
      <c r="D5" s="29" t="n">
        <v>0.75</v>
      </c>
      <c r="E5" s="28" t="n">
        <v>1</v>
      </c>
      <c r="F5" s="28" t="n">
        <v>4</v>
      </c>
      <c r="G5" s="29" t="n">
        <v>0.6561</v>
      </c>
      <c r="I5" s="30" t="s">
        <v>73</v>
      </c>
      <c r="J5" s="30" t="s">
        <v>82</v>
      </c>
      <c r="K5" s="30" t="s">
        <v>93</v>
      </c>
      <c r="L5" s="31" t="n">
        <v>0.5</v>
      </c>
      <c r="M5" s="30" t="n">
        <v>1</v>
      </c>
      <c r="N5" s="30" t="n">
        <v>7</v>
      </c>
      <c r="O5" s="31" t="n">
        <v>0.4782969</v>
      </c>
      <c r="Q5" s="28" t="s">
        <v>103</v>
      </c>
      <c r="R5" s="28" t="s">
        <v>66</v>
      </c>
      <c r="S5" s="28" t="s">
        <v>75</v>
      </c>
      <c r="T5" s="29" t="n">
        <v>0.75</v>
      </c>
      <c r="U5" s="28" t="n">
        <v>1</v>
      </c>
      <c r="V5" s="28" t="n">
        <v>4</v>
      </c>
      <c r="W5" s="29" t="n">
        <v>0.6561</v>
      </c>
    </row>
    <row r="6" customFormat="false" ht="15" hidden="false" customHeight="false" outlineLevel="0" collapsed="false">
      <c r="A6" s="28" t="s">
        <v>64</v>
      </c>
      <c r="B6" s="28" t="s">
        <v>66</v>
      </c>
      <c r="C6" s="28" t="s">
        <v>110</v>
      </c>
      <c r="D6" s="29" t="n">
        <v>0.666666666666667</v>
      </c>
      <c r="E6" s="28" t="n">
        <v>1</v>
      </c>
      <c r="F6" s="28" t="n">
        <v>4</v>
      </c>
      <c r="G6" s="29" t="n">
        <v>0.6561</v>
      </c>
      <c r="I6" s="30" t="s">
        <v>79</v>
      </c>
      <c r="J6" s="30" t="s">
        <v>82</v>
      </c>
      <c r="K6" s="30" t="s">
        <v>84</v>
      </c>
      <c r="L6" s="31" t="n">
        <v>0.333333333333333</v>
      </c>
      <c r="M6" s="30" t="n">
        <v>3</v>
      </c>
      <c r="N6" s="30" t="n">
        <v>14</v>
      </c>
      <c r="O6" s="31" t="n">
        <v>0.611596574146898</v>
      </c>
      <c r="Q6" s="28" t="s">
        <v>64</v>
      </c>
      <c r="R6" s="28" t="s">
        <v>66</v>
      </c>
      <c r="S6" s="28" t="s">
        <v>110</v>
      </c>
      <c r="T6" s="29" t="n">
        <v>0.666666666666667</v>
      </c>
      <c r="U6" s="28" t="n">
        <v>1</v>
      </c>
      <c r="V6" s="28" t="n">
        <v>4</v>
      </c>
      <c r="W6" s="29" t="n">
        <v>0.6561</v>
      </c>
    </row>
    <row r="7" customFormat="false" ht="15" hidden="false" customHeight="false" outlineLevel="0" collapsed="false">
      <c r="A7" s="28" t="s">
        <v>108</v>
      </c>
      <c r="B7" s="28" t="s">
        <v>66</v>
      </c>
      <c r="C7" s="28" t="s">
        <v>67</v>
      </c>
      <c r="D7" s="29" t="n">
        <v>0.666666666666667</v>
      </c>
      <c r="E7" s="28" t="n">
        <v>1</v>
      </c>
      <c r="F7" s="28" t="n">
        <v>4</v>
      </c>
      <c r="G7" s="29" t="n">
        <v>0.6561</v>
      </c>
      <c r="I7" s="30" t="s">
        <v>85</v>
      </c>
      <c r="J7" s="30" t="s">
        <v>82</v>
      </c>
      <c r="K7" s="30" t="s">
        <v>84</v>
      </c>
      <c r="L7" s="31" t="n">
        <v>0.333333333333333</v>
      </c>
      <c r="M7" s="30" t="n">
        <v>3</v>
      </c>
      <c r="N7" s="30" t="n">
        <v>13</v>
      </c>
      <c r="O7" s="31" t="n">
        <v>0.633457585239754</v>
      </c>
      <c r="Q7" s="28" t="s">
        <v>108</v>
      </c>
      <c r="R7" s="28" t="s">
        <v>66</v>
      </c>
      <c r="S7" s="28" t="s">
        <v>67</v>
      </c>
      <c r="T7" s="29" t="n">
        <v>0.666666666666667</v>
      </c>
      <c r="U7" s="28" t="n">
        <v>1</v>
      </c>
      <c r="V7" s="28" t="n">
        <v>4</v>
      </c>
      <c r="W7" s="29" t="n">
        <v>0.6561</v>
      </c>
    </row>
    <row r="8" customFormat="false" ht="15" hidden="false" customHeight="false" outlineLevel="0" collapsed="false">
      <c r="A8" s="28" t="s">
        <v>109</v>
      </c>
      <c r="B8" s="28" t="s">
        <v>66</v>
      </c>
      <c r="C8" s="28" t="s">
        <v>67</v>
      </c>
      <c r="D8" s="29" t="n">
        <v>0.666666666666667</v>
      </c>
      <c r="E8" s="28" t="n">
        <v>1</v>
      </c>
      <c r="F8" s="28" t="n">
        <v>4</v>
      </c>
      <c r="G8" s="29" t="n">
        <v>0.6561</v>
      </c>
      <c r="I8" s="30" t="s">
        <v>103</v>
      </c>
      <c r="J8" s="30" t="s">
        <v>82</v>
      </c>
      <c r="K8" s="30" t="s">
        <v>75</v>
      </c>
      <c r="L8" s="31" t="n">
        <v>0.75</v>
      </c>
      <c r="M8" s="30" t="n">
        <v>1</v>
      </c>
      <c r="N8" s="30" t="n">
        <v>4</v>
      </c>
      <c r="O8" s="31" t="n">
        <v>0.6561</v>
      </c>
      <c r="Q8" s="28" t="s">
        <v>109</v>
      </c>
      <c r="R8" s="28" t="s">
        <v>66</v>
      </c>
      <c r="S8" s="28" t="s">
        <v>67</v>
      </c>
      <c r="T8" s="29" t="n">
        <v>0.666666666666667</v>
      </c>
      <c r="U8" s="28" t="n">
        <v>1</v>
      </c>
      <c r="V8" s="28" t="n">
        <v>4</v>
      </c>
      <c r="W8" s="29" t="n">
        <v>0.6561</v>
      </c>
    </row>
    <row r="9" customFormat="false" ht="15" hidden="false" customHeight="false" outlineLevel="0" collapsed="false">
      <c r="A9" s="28" t="s">
        <v>69</v>
      </c>
      <c r="B9" s="28" t="s">
        <v>66</v>
      </c>
      <c r="C9" s="28" t="s">
        <v>98</v>
      </c>
      <c r="D9" s="29" t="n">
        <v>0.6</v>
      </c>
      <c r="E9" s="28" t="n">
        <v>1</v>
      </c>
      <c r="F9" s="28" t="n">
        <v>4</v>
      </c>
      <c r="G9" s="29" t="n">
        <v>0.6561</v>
      </c>
      <c r="I9" s="30" t="s">
        <v>64</v>
      </c>
      <c r="J9" s="30" t="s">
        <v>82</v>
      </c>
      <c r="K9" s="30" t="s">
        <v>110</v>
      </c>
      <c r="L9" s="31" t="n">
        <v>0.666666666666667</v>
      </c>
      <c r="M9" s="30" t="n">
        <v>1</v>
      </c>
      <c r="N9" s="30" t="n">
        <v>4</v>
      </c>
      <c r="O9" s="31" t="n">
        <v>0.6561</v>
      </c>
      <c r="Q9" s="30" t="s">
        <v>73</v>
      </c>
      <c r="R9" s="30" t="s">
        <v>82</v>
      </c>
      <c r="S9" s="30" t="s">
        <v>93</v>
      </c>
      <c r="T9" s="31" t="n">
        <v>0.5</v>
      </c>
      <c r="U9" s="30" t="n">
        <v>1</v>
      </c>
      <c r="V9" s="30" t="n">
        <v>7</v>
      </c>
      <c r="W9" s="31" t="n">
        <v>0.4782969</v>
      </c>
    </row>
    <row r="10" customFormat="false" ht="15" hidden="false" customHeight="false" outlineLevel="0" collapsed="false">
      <c r="A10" s="28" t="s">
        <v>73</v>
      </c>
      <c r="B10" s="28" t="s">
        <v>66</v>
      </c>
      <c r="C10" s="28" t="s">
        <v>93</v>
      </c>
      <c r="D10" s="29" t="n">
        <v>0.5</v>
      </c>
      <c r="E10" s="28" t="n">
        <v>1</v>
      </c>
      <c r="F10" s="28" t="n">
        <v>7</v>
      </c>
      <c r="G10" s="29" t="n">
        <v>0.4782969</v>
      </c>
      <c r="I10" s="30" t="s">
        <v>108</v>
      </c>
      <c r="J10" s="30" t="s">
        <v>82</v>
      </c>
      <c r="K10" s="30" t="s">
        <v>67</v>
      </c>
      <c r="L10" s="31" t="n">
        <v>0.666666666666667</v>
      </c>
      <c r="M10" s="30" t="n">
        <v>1</v>
      </c>
      <c r="N10" s="30" t="n">
        <v>4</v>
      </c>
      <c r="O10" s="31" t="n">
        <v>0.6561</v>
      </c>
      <c r="Q10" s="30" t="s">
        <v>79</v>
      </c>
      <c r="R10" s="30" t="s">
        <v>82</v>
      </c>
      <c r="S10" s="30" t="s">
        <v>84</v>
      </c>
      <c r="T10" s="31" t="n">
        <v>0.333333333333333</v>
      </c>
      <c r="U10" s="30" t="n">
        <v>3</v>
      </c>
      <c r="V10" s="30" t="n">
        <v>14</v>
      </c>
      <c r="W10" s="31" t="n">
        <v>0.611596574146898</v>
      </c>
    </row>
    <row r="11" customFormat="false" ht="15" hidden="false" customHeight="false" outlineLevel="0" collapsed="false">
      <c r="A11" s="28" t="s">
        <v>65</v>
      </c>
      <c r="B11" s="28" t="s">
        <v>66</v>
      </c>
      <c r="C11" s="28" t="s">
        <v>147</v>
      </c>
      <c r="D11" s="29" t="n">
        <v>0.5</v>
      </c>
      <c r="E11" s="28" t="n">
        <v>1</v>
      </c>
      <c r="F11" s="28" t="n">
        <v>4</v>
      </c>
      <c r="G11" s="29" t="n">
        <v>0.6561</v>
      </c>
      <c r="I11" s="30" t="s">
        <v>109</v>
      </c>
      <c r="J11" s="30" t="s">
        <v>82</v>
      </c>
      <c r="K11" s="30" t="s">
        <v>67</v>
      </c>
      <c r="L11" s="31" t="n">
        <v>0.666666666666667</v>
      </c>
      <c r="M11" s="30" t="n">
        <v>1</v>
      </c>
      <c r="N11" s="30" t="n">
        <v>4</v>
      </c>
      <c r="O11" s="31" t="n">
        <v>0.6561</v>
      </c>
      <c r="Q11" s="30" t="s">
        <v>85</v>
      </c>
      <c r="R11" s="30" t="s">
        <v>82</v>
      </c>
      <c r="S11" s="30" t="s">
        <v>84</v>
      </c>
      <c r="T11" s="31" t="n">
        <v>0.333333333333333</v>
      </c>
      <c r="U11" s="30" t="n">
        <v>3</v>
      </c>
      <c r="V11" s="30" t="n">
        <v>13</v>
      </c>
      <c r="W11" s="31" t="n">
        <v>0.633457585239754</v>
      </c>
    </row>
    <row r="14" customFormat="false" ht="15" hidden="false" customHeight="false" outlineLevel="0" collapsed="false">
      <c r="A14" s="2" t="s">
        <v>165</v>
      </c>
    </row>
    <row r="15" customFormat="false" ht="15" hidden="false" customHeight="false" outlineLevel="0" collapsed="false">
      <c r="A15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2026-10-01T20:06:28Z</dcterms:created>
  <dc:creator>openpyxl</dc:creator>
  <dc:description/>
  <dc:language>en-US</dc:language>
  <cp:lastModifiedBy/>
  <dcterms:modified xsi:type="dcterms:W3CDTF">2026-10-01T20:06:28Z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